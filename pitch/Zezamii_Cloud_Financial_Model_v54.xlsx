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847" firstSheet="0" activeTab="3" autoFilterDateGrouping="1"/>
  </bookViews>
  <sheets>
    <sheet name="0. Review &amp; Changelog" sheetId="1" state="visible" r:id="rId1"/>
    <sheet name="1. Overview" sheetId="2" state="visible" r:id="rId2"/>
    <sheet name="2. Dashboard" sheetId="3" state="visible" r:id="rId3"/>
    <sheet name="3. Assumptions" sheetId="4" state="visible" r:id="rId4"/>
    <sheet name="4. Product Forecast" sheetId="5" state="visible" r:id="rId5"/>
    <sheet name="5. P&amp;L" sheetId="6" state="visible" r:id="rId6"/>
    <sheet name="6. Cash Flow" sheetId="7" state="visible" r:id="rId7"/>
    <sheet name="7. Valuation" sheetId="8" state="visible" r:id="rId8"/>
    <sheet name="8. LSC Investment" sheetId="9" state="hidden" r:id="rId9"/>
    <sheet name="9. LSC Returns" sheetId="10" state="hidden" r:id="rId10"/>
    <sheet name="10. LSC Sensitivity" sheetId="11" state="hidden" r:id="rId11"/>
    <sheet name="Revenue" sheetId="12" state="visible" r:id="rId12"/>
    <sheet name="Team - S" sheetId="13" state="visible" r:id="rId13"/>
    <sheet name="Team - M" sheetId="14" state="visible" r:id="rId14"/>
    <sheet name="Team - L" sheetId="15" state="visible" r:id="rId15"/>
    <sheet name="Team Summary" sheetId="16" state="visible" r:id="rId1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5">
    <numFmt numFmtId="164" formatCode="\$#,##0"/>
    <numFmt numFmtId="165" formatCode="0.0%"/>
    <numFmt numFmtId="166" formatCode="0.0%;\(0.0%\);&quot;-&quot;"/>
    <numFmt numFmtId="167" formatCode="\$#,##0;\(\$#,##0\);&quot;-&quot;"/>
    <numFmt numFmtId="168" formatCode="0.00&quot;x&quot;"/>
    <numFmt numFmtId="169" formatCode="0&quot; yr&quot;"/>
    <numFmt numFmtId="170" formatCode="0.0&quot; mo&quot;"/>
    <numFmt numFmtId="171" formatCode="0.0&quot; yr&quot;"/>
    <numFmt numFmtId="172" formatCode="#,##0;\(#,##0\);&quot;-&quot;"/>
    <numFmt numFmtId="173" formatCode="\$#,##0;\(\$#,##0\);\-"/>
    <numFmt numFmtId="174" formatCode="\+0.0%;\-0.0%;\-"/>
    <numFmt numFmtId="175" formatCode="0.0%;\(0.0%\);\-"/>
    <numFmt numFmtId="176" formatCode="#,##0;\(#,##0\);\-"/>
    <numFmt numFmtId="177" formatCode="0.0"/>
    <numFmt numFmtId="178" formatCode="\$#,##0.00"/>
  </numFmts>
  <fonts count="130">
    <font>
      <name val="Calibri"/>
      <charset val="1"/>
      <family val="2"/>
      <color theme="1"/>
      <sz val="11"/>
    </font>
    <font>
      <name val="Cambria"/>
      <charset val="1"/>
      <color rgb="FF666666"/>
      <sz val="12"/>
    </font>
    <font>
      <name val="Cambria"/>
      <charset val="1"/>
      <b val="1"/>
      <color rgb="FF2E637A"/>
      <sz val="14"/>
    </font>
    <font>
      <name val="Cambria"/>
      <charset val="1"/>
      <b val="1"/>
      <sz val="11"/>
    </font>
    <font>
      <name val="Cambria"/>
      <charset val="1"/>
      <i val="1"/>
      <color rgb="FF666666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4B8A6"/>
      <sz val="20"/>
    </font>
    <font>
      <name val="Cambria"/>
      <charset val="1"/>
      <sz val="11"/>
    </font>
    <font>
      <name val="Cambria"/>
      <charset val="1"/>
      <b val="1"/>
      <color rgb="FF2E637A"/>
      <sz val="12"/>
    </font>
    <font>
      <name val="Cambria"/>
      <charset val="1"/>
      <b val="1"/>
      <color rgb="FF14B8A6"/>
      <sz val="11"/>
    </font>
    <font>
      <name val="Cambria"/>
      <charset val="1"/>
      <b val="1"/>
      <color rgb="FFE67E22"/>
      <sz val="11"/>
    </font>
    <font>
      <name val="Cambria"/>
      <charset val="1"/>
      <b val="1"/>
      <color rgb="FF14B8A6"/>
      <sz val="14"/>
    </font>
    <font>
      <name val="Cambria"/>
      <charset val="1"/>
      <color rgb="FF0000FF"/>
      <sz val="11"/>
    </font>
    <font>
      <name val="Cambria"/>
      <charset val="1"/>
      <b val="1"/>
      <color rgb="FF2E637A"/>
      <sz val="18"/>
    </font>
    <font>
      <name val="Cambria"/>
      <charset val="1"/>
      <color rgb="FF666666"/>
      <sz val="11"/>
    </font>
    <font>
      <name val="Arial"/>
      <i val="1"/>
      <color rgb="FF595959"/>
      <sz val="9"/>
    </font>
    <font>
      <name val="Arial"/>
      <color rgb="FF000000"/>
      <sz val="10"/>
    </font>
    <font>
      <name val="Arial"/>
      <b val="1"/>
      <color rgb="FFC00000"/>
      <sz val="10"/>
    </font>
    <font>
      <name val="Arial"/>
      <color rgb="FF0000FF"/>
      <sz val="10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color rgb="FF008000"/>
      <sz val="10"/>
    </font>
    <font>
      <name val="Arial"/>
      <i val="1"/>
      <color rgb="FF595959"/>
      <sz val="9"/>
    </font>
    <font>
      <name val="Arial"/>
      <b val="1"/>
      <sz val="11"/>
    </font>
    <font>
      <name val="Arial"/>
      <color rgb="FF0000FF"/>
      <sz val="10"/>
    </font>
    <font>
      <name val="Arial"/>
      <b val="1"/>
      <color rgb="FFFFFFFF"/>
      <sz val="14"/>
    </font>
    <font>
      <name val="Arial"/>
      <i val="1"/>
      <color rgb="FF595959"/>
      <sz val="9"/>
    </font>
    <font>
      <name val="Arial"/>
      <b val="1"/>
      <color rgb="FFFFFFFF"/>
      <sz val="11"/>
    </font>
    <font>
      <name val="Arial"/>
      <color rgb="FF0000FF"/>
      <sz val="10"/>
    </font>
    <font>
      <name val="Arial"/>
      <color rgb="FF008000"/>
      <sz val="10"/>
    </font>
    <font>
      <name val="Arial"/>
      <color rgb="FF000000"/>
      <sz val="10"/>
    </font>
    <font>
      <name val="Arial"/>
      <b val="1"/>
      <color rgb="FFFFFFFF"/>
      <sz val="11"/>
    </font>
    <font>
      <name val="Arial"/>
      <color rgb="FF008000"/>
      <sz val="10"/>
    </font>
    <font>
      <name val="Arial"/>
      <i val="1"/>
      <color rgb="FF595959"/>
      <sz val="9"/>
    </font>
    <font>
      <name val="Arial"/>
      <color rgb="FF0000FF"/>
      <sz val="10"/>
    </font>
    <font>
      <name val="Arial"/>
      <color rgb="FF000000"/>
      <sz val="10"/>
    </font>
    <font>
      <name val="Arial"/>
      <b val="1"/>
      <color rgb="FFC00000"/>
      <sz val="10"/>
    </font>
    <font>
      <name val="Arial"/>
      <color rgb="FF008000"/>
      <sz val="10"/>
    </font>
    <font>
      <name val="Arial"/>
      <i val="1"/>
      <color rgb="FF595959"/>
      <sz val="9"/>
    </font>
    <font>
      <name val="Arial"/>
      <b val="1"/>
      <color rgb="FFFFFFFF"/>
      <sz val="11"/>
    </font>
    <font>
      <name val="Arial"/>
      <i val="1"/>
      <color rgb="FF595959"/>
      <sz val="9"/>
    </font>
    <font>
      <name val="Arial"/>
      <color rgb="FF0000FF"/>
      <sz val="10"/>
    </font>
    <font>
      <name val="Arial"/>
      <color rgb="FF008000"/>
      <sz val="10"/>
    </font>
    <font>
      <name val="Calibri"/>
      <b val="1"/>
      <sz val="11"/>
    </font>
    <font>
      <name val="Calibri"/>
      <i val="1"/>
      <color rgb="FF595959"/>
      <sz val="9"/>
    </font>
    <font>
      <name val="Calibri"/>
      <color rgb="FF0000FF"/>
      <sz val="11"/>
    </font>
    <font>
      <name val="Calibri"/>
      <i val="1"/>
      <color rgb="FF595959"/>
      <sz val="9"/>
    </font>
    <font>
      <name val="Arial"/>
      <i val="1"/>
      <color rgb="FF595959"/>
      <sz val="9"/>
    </font>
    <font>
      <name val="Arial"/>
      <color rgb="FF0000FF"/>
      <sz val="10"/>
    </font>
    <font>
      <name val="Arial"/>
      <i val="1"/>
      <color rgb="FF595959"/>
      <sz val="9"/>
    </font>
    <font>
      <name val="Arial"/>
      <b val="1"/>
      <color rgb="FFFFFFFF"/>
      <sz val="14"/>
    </font>
    <font>
      <name val="Arial"/>
      <i val="1"/>
      <color rgb="FF595959"/>
      <sz val="9"/>
    </font>
    <font>
      <name val="Arial"/>
      <b val="1"/>
      <color rgb="FFFFFFFF"/>
      <sz val="11"/>
    </font>
    <font>
      <name val="Arial"/>
      <color rgb="FF008000"/>
      <sz val="10"/>
    </font>
    <font>
      <name val="Arial"/>
      <b val="1"/>
      <color rgb="FFFFFFFF"/>
      <sz val="10"/>
    </font>
    <font>
      <name val="Arial"/>
      <color rgb="FF0000FF"/>
      <sz val="10"/>
    </font>
    <font>
      <name val="Arial"/>
      <b val="1"/>
      <color rgb="FFFFFFFF"/>
      <sz val="14"/>
    </font>
    <font>
      <name val="Arial"/>
      <i val="1"/>
      <color rgb="FF595959"/>
      <sz val="10"/>
    </font>
    <font>
      <name val="Arial"/>
      <b val="1"/>
      <color rgb="FFFFFFFF"/>
      <sz val="12"/>
    </font>
    <font>
      <name val="Arial"/>
      <b val="1"/>
      <color rgb="FFC00000"/>
      <sz val="11"/>
    </font>
    <font>
      <name val="Arial"/>
      <color rgb="FF008000"/>
      <sz val="10"/>
    </font>
    <font>
      <name val="Arial"/>
      <b val="1"/>
      <color rgb="FFFFFFFF"/>
      <sz val="10"/>
    </font>
    <font>
      <name val="Arial"/>
      <i val="1"/>
      <color rgb="FF595959"/>
      <sz val="9"/>
    </font>
    <font>
      <name val="Arial"/>
      <b val="1"/>
      <color rgb="FF000000"/>
      <sz val="11"/>
    </font>
    <font>
      <name val="Arial"/>
      <b val="1"/>
      <color rgb="FF0000FF"/>
      <sz val="11"/>
    </font>
    <font>
      <name val="Arial"/>
      <i val="1"/>
      <color rgb="FF595959"/>
      <sz val="9"/>
    </font>
    <font>
      <name val="Arial"/>
      <color rgb="FF008000"/>
      <sz val="11"/>
    </font>
    <font>
      <name val="Arial"/>
      <b val="1"/>
      <color rgb="FF000000"/>
      <sz val="12"/>
    </font>
    <font>
      <name val="Arial"/>
      <color rgb="FF000000"/>
      <sz val="11"/>
    </font>
    <font>
      <name val="Arial"/>
      <b val="1"/>
      <color rgb="FF008000"/>
      <sz val="11"/>
    </font>
    <font>
      <name val="Arial"/>
      <b val="1"/>
      <color rgb="FF0000FF"/>
      <sz val="11"/>
    </font>
    <font>
      <name val="Arial"/>
      <i val="1"/>
      <color rgb="FF595959"/>
      <sz val="9"/>
    </font>
    <font>
      <name val="Arial"/>
      <b val="1"/>
      <color rgb="FF000000"/>
      <sz val="11"/>
    </font>
    <font>
      <name val="Arial"/>
      <sz val="11"/>
    </font>
    <font>
      <name val="Arial"/>
      <b val="1"/>
      <color rgb="FF000000"/>
      <sz val="11"/>
    </font>
    <font>
      <name val="Arial"/>
      <i val="1"/>
      <color rgb="FF595959"/>
      <sz val="9"/>
    </font>
    <font>
      <name val="Arial"/>
      <b val="1"/>
      <i val="1"/>
      <color rgb="FF9C5700"/>
      <sz val="10"/>
    </font>
    <font>
      <name val="Arial"/>
      <i val="1"/>
      <color rgb="FF595959"/>
      <sz val="9"/>
    </font>
    <font>
      <name val="Arial"/>
      <b val="1"/>
      <color rgb="FF000000"/>
      <sz val="11"/>
    </font>
    <font>
      <name val="Arial"/>
      <b val="1"/>
      <color rgb="FF0000FF"/>
      <sz val="11"/>
    </font>
    <font>
      <name val="Arial"/>
      <b val="1"/>
      <color rgb="FF000000"/>
      <sz val="11"/>
    </font>
    <font>
      <name val="Arial"/>
      <b val="1"/>
      <color rgb="FF9C5700"/>
      <sz val="12"/>
    </font>
    <font>
      <name val="Arial"/>
      <b val="1"/>
      <color rgb="FF0563C1"/>
      <sz val="11"/>
      <u val="single"/>
    </font>
    <font>
      <name val="Arial"/>
      <b val="1"/>
      <color rgb="FF000000"/>
      <sz val="14"/>
    </font>
    <font>
      <name val="Arial"/>
      <color rgb="FF008000"/>
      <sz val="11"/>
    </font>
    <font>
      <name val="Arial"/>
      <b val="1"/>
      <color rgb="FF0000FF"/>
      <sz val="11"/>
    </font>
    <font>
      <name val="Arial"/>
      <i val="1"/>
      <color rgb="FF595959"/>
      <sz val="9"/>
    </font>
    <font>
      <name val="Arial"/>
      <color rgb="FF000000"/>
      <sz val="11"/>
    </font>
    <font>
      <name val="Arial"/>
      <b val="1"/>
      <color rgb="FF0000FF"/>
      <sz val="11"/>
    </font>
    <font>
      <name val="Arial"/>
      <color rgb="FF000000"/>
      <sz val="11"/>
    </font>
    <font>
      <name val="Arial"/>
      <i val="1"/>
      <color rgb="FF595959"/>
      <sz val="9"/>
    </font>
    <font>
      <name val="Arial"/>
      <b val="1"/>
      <color rgb="FF000000"/>
      <sz val="12"/>
    </font>
    <font>
      <name val="Arial"/>
      <b val="1"/>
      <color rgb="FF000000"/>
      <sz val="11"/>
    </font>
    <font>
      <name val="Arial"/>
      <i val="1"/>
      <color rgb="FF595959"/>
      <sz val="9"/>
    </font>
    <font>
      <name val="Arial"/>
      <b val="1"/>
      <color rgb="FF0000FF"/>
      <sz val="11"/>
    </font>
    <font>
      <name val="Arial"/>
      <i val="1"/>
      <color rgb="FF595959"/>
      <sz val="9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000000"/>
      <sz val="11"/>
    </font>
    <font>
      <name val="Arial"/>
      <i val="1"/>
      <color rgb="FF595959"/>
      <sz val="9"/>
    </font>
    <font>
      <name val="Arial"/>
      <b val="1"/>
      <i val="1"/>
      <color rgb="FF9C5700"/>
      <sz val="9"/>
    </font>
    <font>
      <name val="Arial"/>
      <i val="1"/>
      <color rgb="FF808080"/>
      <sz val="10"/>
    </font>
    <font>
      <name val="Arial"/>
      <b val="1"/>
      <color rgb="FF000000"/>
      <sz val="11"/>
    </font>
    <font>
      <name val="Arial"/>
      <b val="1"/>
      <color rgb="FF0000FF"/>
      <sz val="11"/>
    </font>
    <font>
      <name val="Arial"/>
      <color rgb="FF000000"/>
      <sz val="11"/>
    </font>
    <font>
      <name val="Arial"/>
      <i val="1"/>
      <color rgb="FF595959"/>
      <sz val="9"/>
    </font>
    <font>
      <name val="Arial"/>
      <b val="1"/>
      <color rgb="FF000000"/>
      <sz val="11"/>
    </font>
    <font>
      <name val="Arial"/>
      <color rgb="FF000000"/>
      <sz val="11"/>
    </font>
    <font>
      <name val="Arial"/>
      <b val="1"/>
      <color rgb="FF000000"/>
      <sz val="11"/>
    </font>
    <font>
      <name val="Arial"/>
      <b val="1"/>
      <color rgb="FF0000FF"/>
      <sz val="11"/>
    </font>
    <font>
      <name val="Arial"/>
      <i val="1"/>
      <color rgb="FF595959"/>
      <sz val="9"/>
    </font>
    <font>
      <name val="Arial"/>
      <color rgb="FF008000"/>
      <sz val="11"/>
    </font>
    <font>
      <name val="Arial"/>
      <color rgb="FF000000"/>
      <sz val="11"/>
    </font>
    <font>
      <name val="Arial"/>
      <b val="1"/>
      <color rgb="FF000000"/>
      <sz val="12"/>
    </font>
    <font>
      <name val="Arial"/>
      <b val="1"/>
      <color rgb="FF000000"/>
      <sz val="12"/>
    </font>
    <font>
      <name val="Arial"/>
      <color rgb="FF000000"/>
      <sz val="11"/>
    </font>
    <font>
      <name val="Arial"/>
      <i val="1"/>
      <color rgb="FF595959"/>
      <sz val="9"/>
    </font>
    <font>
      <name val="Arial"/>
      <b val="1"/>
      <i val="1"/>
      <color rgb="FF9C5700"/>
      <sz val="9"/>
    </font>
    <font>
      <name val="Arial"/>
      <b val="1"/>
      <color rgb="FF000000"/>
      <sz val="11"/>
    </font>
    <font>
      <name val="Arial"/>
      <b val="1"/>
      <color rgb="FF0000FF"/>
      <sz val="11"/>
    </font>
    <font>
      <name val="Arial"/>
      <i val="1"/>
      <color rgb="FF595959"/>
      <sz val="9"/>
    </font>
    <font>
      <name val="Arial"/>
      <color rgb="FF000000"/>
      <sz val="11"/>
    </font>
    <font>
      <name val="Arial"/>
      <b val="1"/>
      <i val="1"/>
      <color rgb="FF9C5700"/>
      <sz val="10"/>
    </font>
    <font>
      <b val="1"/>
      <sz val="14"/>
    </font>
    <font>
      <i val="1"/>
      <sz val="10"/>
    </font>
    <font>
      <b val="1"/>
    </font>
    <font>
      <b val="1"/>
      <color rgb="00B45309"/>
    </font>
    <font>
      <i val="1"/>
    </font>
  </fonts>
  <fills count="64">
    <fill>
      <patternFill/>
    </fill>
    <fill>
      <patternFill patternType="gray125"/>
    </fill>
    <fill>
      <patternFill patternType="solid">
        <fgColor rgb="FFE8F4F8"/>
        <bgColor rgb="FFE6FFF9"/>
      </patternFill>
    </fill>
    <fill>
      <patternFill patternType="solid">
        <fgColor rgb="FFE6FFF9"/>
        <bgColor rgb="FFE8F4F8"/>
      </patternFill>
    </fill>
    <fill>
      <patternFill patternType="solid">
        <fgColor rgb="FFFFF5E6"/>
        <bgColor rgb="FFFFF3E6"/>
      </patternFill>
    </fill>
    <fill>
      <patternFill patternType="solid">
        <fgColor rgb="FF14B8A6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2E637A"/>
        <bgColor rgb="FF666666"/>
      </patternFill>
    </fill>
    <fill>
      <patternFill patternType="solid">
        <fgColor rgb="FFD4E8ED"/>
        <bgColor rgb="FFE8F4F8"/>
      </patternFill>
    </fill>
    <fill>
      <patternFill patternType="solid">
        <fgColor rgb="FFFFD9D9"/>
      </patternFill>
    </fill>
    <fill>
      <patternFill patternType="solid">
        <fgColor rgb="FFFFFF99"/>
      </patternFill>
    </fill>
    <fill>
      <patternFill patternType="solid">
        <fgColor rgb="FF001F3F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FF99"/>
      </patternFill>
    </fill>
    <fill>
      <patternFill patternType="solid">
        <fgColor rgb="FF001F3F"/>
      </patternFill>
    </fill>
    <fill>
      <patternFill patternType="solid">
        <fgColor rgb="FF4472C4"/>
      </patternFill>
    </fill>
    <fill>
      <patternFill patternType="solid">
        <fgColor rgb="FFFFFF99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C6E0B4"/>
      </patternFill>
    </fill>
    <fill>
      <patternFill patternType="solid">
        <fgColor rgb="FF4472C4"/>
      </patternFill>
    </fill>
    <fill>
      <patternFill patternType="solid">
        <fgColor rgb="FFFFFF99"/>
      </patternFill>
    </fill>
    <fill>
      <patternFill patternType="solid">
        <fgColor rgb="FFC6EFCE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FF99"/>
      </patternFill>
    </fill>
    <fill>
      <patternFill patternType="solid">
        <fgColor rgb="FFFFFF99"/>
      </patternFill>
    </fill>
    <fill>
      <patternFill patternType="solid">
        <fgColor rgb="FFFFFF99"/>
      </patternFill>
    </fill>
    <fill>
      <patternFill patternType="solid">
        <fgColor rgb="FF001F3F"/>
      </patternFill>
    </fill>
    <fill>
      <patternFill patternType="solid">
        <fgColor rgb="FF4472C4"/>
      </patternFill>
    </fill>
    <fill>
      <patternFill patternType="solid">
        <fgColor rgb="FF8DB4E2"/>
      </patternFill>
    </fill>
    <fill>
      <patternFill patternType="solid">
        <fgColor rgb="FFFFFF99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001F3F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8DB4E2"/>
      </patternFill>
    </fill>
    <fill>
      <patternFill patternType="solid">
        <fgColor rgb="FFFFFF99"/>
      </patternFill>
    </fill>
    <fill>
      <patternFill patternType="solid">
        <fgColor rgb="FFFFFF00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FF4CE"/>
      </patternFill>
    </fill>
    <fill>
      <patternFill patternType="solid">
        <fgColor rgb="FFDCE6F1"/>
      </patternFill>
    </fill>
    <fill>
      <patternFill patternType="solid">
        <fgColor rgb="FFFFE699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DCE6F1"/>
      </patternFill>
    </fill>
    <fill>
      <patternFill patternType="solid">
        <fgColor rgb="FFFFF4CE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FF4CE"/>
      </patternFill>
    </fill>
    <fill>
      <patternFill patternType="solid">
        <fgColor rgb="FFFFF4CE"/>
      </patternFill>
    </fill>
    <fill>
      <patternFill patternType="solid">
        <fgColor rgb="FFFFFF00"/>
      </patternFill>
    </fill>
    <fill>
      <patternFill patternType="solid">
        <fgColor rgb="FFFFF4CE"/>
      </patternFill>
    </fill>
    <fill>
      <patternFill patternType="solid">
        <fgColor rgb="00FBE4D6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7"/>
  </cellStyleXfs>
  <cellXfs count="309">
    <xf numFmtId="0" fontId="0" fillId="0" borderId="0" pivotButton="0" quotePrefix="0" xfId="0"/>
    <xf numFmtId="0" fontId="5" fillId="5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7" fillId="6" borderId="0" pivotButton="0" quotePrefix="0" xfId="0"/>
    <xf numFmtId="0" fontId="8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164" fontId="5" fillId="7" borderId="0" applyAlignment="1" pivotButton="0" quotePrefix="0" xfId="0">
      <alignment horizontal="center"/>
    </xf>
    <xf numFmtId="3" fontId="7" fillId="0" borderId="0" pivotButton="0" quotePrefix="0" xfId="0"/>
    <xf numFmtId="164" fontId="7" fillId="0" borderId="0" pivotButton="0" quotePrefix="0" xfId="0"/>
    <xf numFmtId="0" fontId="9" fillId="3" borderId="0" pivotButton="0" quotePrefix="0" xfId="0"/>
    <xf numFmtId="164" fontId="7" fillId="3" borderId="0" pivotButton="0" quotePrefix="0" xfId="0"/>
    <xf numFmtId="0" fontId="9" fillId="0" borderId="0" pivotButton="0" quotePrefix="0" xfId="0"/>
    <xf numFmtId="165" fontId="7" fillId="0" borderId="0" pivotButton="0" quotePrefix="0" xfId="0"/>
    <xf numFmtId="0" fontId="10" fillId="4" borderId="0" pivotButton="0" quotePrefix="0" xfId="0"/>
    <xf numFmtId="164" fontId="7" fillId="4" borderId="0" pivotButton="0" quotePrefix="0" xfId="0"/>
    <xf numFmtId="0" fontId="10" fillId="0" borderId="0" pivotButton="0" quotePrefix="0" xfId="0"/>
    <xf numFmtId="0" fontId="8" fillId="8" borderId="0" pivotButton="0" quotePrefix="0" xfId="0"/>
    <xf numFmtId="164" fontId="7" fillId="8" borderId="0" pivotButton="0" quotePrefix="0" xfId="0"/>
    <xf numFmtId="0" fontId="7" fillId="8" borderId="0" pivotButton="0" quotePrefix="0" xfId="0"/>
    <xf numFmtId="164" fontId="11" fillId="0" borderId="0" pivotButton="0" quotePrefix="0" xfId="0"/>
    <xf numFmtId="0" fontId="2" fillId="0" borderId="0" pivotButton="0" quotePrefix="0" xfId="0"/>
    <xf numFmtId="164" fontId="12" fillId="6" borderId="0" pivotButton="0" quotePrefix="0" xfId="0"/>
    <xf numFmtId="9" fontId="12" fillId="6" borderId="0" pivotButton="0" quotePrefix="0" xfId="0"/>
    <xf numFmtId="3" fontId="12" fillId="6" borderId="0" pivotButton="0" quotePrefix="0" xfId="0"/>
    <xf numFmtId="0" fontId="12" fillId="6" borderId="0" pivotButton="0" quotePrefix="0" xfId="0"/>
    <xf numFmtId="164" fontId="0" fillId="6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8" fillId="3" borderId="0" pivotButton="0" quotePrefix="0" xfId="0"/>
    <xf numFmtId="165" fontId="0" fillId="0" borderId="0" pivotButton="0" quotePrefix="0" xfId="0"/>
    <xf numFmtId="0" fontId="8" fillId="4" borderId="0" pivotButton="0" quotePrefix="0" xfId="0"/>
    <xf numFmtId="0" fontId="0" fillId="8" borderId="0" pivotButton="0" quotePrefix="0" xfId="0"/>
    <xf numFmtId="0" fontId="3" fillId="2" borderId="0" pivotButton="0" quotePrefix="0" xfId="0"/>
    <xf numFmtId="0" fontId="18" fillId="10" borderId="0" pivotButton="0" quotePrefix="0" xfId="0"/>
    <xf numFmtId="0" fontId="15" fillId="0" borderId="0" pivotButton="0" quotePrefix="0" xfId="0"/>
    <xf numFmtId="164" fontId="23" fillId="0" borderId="0" pivotButton="0" quotePrefix="0" xfId="0"/>
    <xf numFmtId="0" fontId="17" fillId="0" borderId="0" pivotButton="0" quotePrefix="0" xfId="0"/>
    <xf numFmtId="0" fontId="0" fillId="9" borderId="0" pivotButton="0" quotePrefix="0" xfId="0"/>
    <xf numFmtId="166" fontId="16" fillId="0" borderId="0" pivotButton="0" quotePrefix="0" xfId="0"/>
    <xf numFmtId="0" fontId="20" fillId="12" borderId="0" pivotButton="0" quotePrefix="0" xfId="0"/>
    <xf numFmtId="0" fontId="21" fillId="0" borderId="0" pivotButton="0" quotePrefix="0" xfId="0"/>
    <xf numFmtId="167" fontId="18" fillId="10" borderId="0" pivotButton="0" quotePrefix="0" xfId="0"/>
    <xf numFmtId="168" fontId="18" fillId="10" borderId="0" pivotButton="0" quotePrefix="0" xfId="0"/>
    <xf numFmtId="167" fontId="16" fillId="0" borderId="0" pivotButton="0" quotePrefix="0" xfId="0"/>
    <xf numFmtId="0" fontId="22" fillId="0" borderId="0" pivotButton="0" quotePrefix="0" xfId="0"/>
    <xf numFmtId="167" fontId="22" fillId="0" borderId="0" pivotButton="0" quotePrefix="0" xfId="0"/>
    <xf numFmtId="167" fontId="23" fillId="0" borderId="0" pivotButton="0" quotePrefix="0" xfId="0"/>
    <xf numFmtId="168" fontId="16" fillId="0" borderId="0" pivotButton="0" quotePrefix="0" xfId="0"/>
    <xf numFmtId="166" fontId="18" fillId="10" borderId="0" pivotButton="0" quotePrefix="0" xfId="0"/>
    <xf numFmtId="169" fontId="18" fillId="10" borderId="0" pivotButton="0" quotePrefix="0" xfId="0"/>
    <xf numFmtId="0" fontId="22" fillId="13" borderId="0" applyAlignment="1" pivotButton="0" quotePrefix="0" xfId="0">
      <alignment horizontal="center" vertical="center"/>
    </xf>
    <xf numFmtId="166" fontId="22" fillId="0" borderId="0" pivotButton="0" quotePrefix="0" xfId="0"/>
    <xf numFmtId="170" fontId="22" fillId="0" borderId="0" pivotButton="0" quotePrefix="0" xfId="0"/>
    <xf numFmtId="171" fontId="16" fillId="0" borderId="0" pivotButton="0" quotePrefix="0" xfId="0"/>
    <xf numFmtId="0" fontId="23" fillId="0" borderId="0" pivotButton="0" quotePrefix="0" xfId="0"/>
    <xf numFmtId="166" fontId="23" fillId="0" borderId="0" pivotButton="0" quotePrefix="0" xfId="0"/>
    <xf numFmtId="168" fontId="22" fillId="0" borderId="0" pivotButton="0" quotePrefix="0" xfId="0"/>
    <xf numFmtId="168" fontId="18" fillId="10" borderId="0" applyAlignment="1" pivotButton="0" quotePrefix="0" xfId="0">
      <alignment horizontal="center" vertical="center"/>
    </xf>
    <xf numFmtId="167" fontId="16" fillId="14" borderId="0" pivotButton="0" quotePrefix="0" xfId="0"/>
    <xf numFmtId="169" fontId="18" fillId="10" borderId="0" applyAlignment="1" pivotButton="0" quotePrefix="0" xfId="0">
      <alignment horizontal="center" vertical="center"/>
    </xf>
    <xf numFmtId="166" fontId="16" fillId="14" borderId="0" pivotButton="0" quotePrefix="0" xfId="0"/>
    <xf numFmtId="166" fontId="18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165" fontId="26" fillId="15" borderId="0" pivotButton="0" quotePrefix="0" xfId="0"/>
    <xf numFmtId="0" fontId="28" fillId="0" borderId="0" pivotButton="0" quotePrefix="0" xfId="0"/>
    <xf numFmtId="0" fontId="29" fillId="17" borderId="0" pivotButton="0" quotePrefix="0" xfId="0"/>
    <xf numFmtId="0" fontId="22" fillId="0" borderId="0" applyAlignment="1" pivotButton="0" quotePrefix="0" xfId="0">
      <alignment horizontal="center" vertical="center"/>
    </xf>
    <xf numFmtId="168" fontId="30" fillId="18" borderId="0" pivotButton="0" quotePrefix="0" xfId="0"/>
    <xf numFmtId="166" fontId="30" fillId="18" borderId="0" pivotButton="0" quotePrefix="0" xfId="0"/>
    <xf numFmtId="167" fontId="31" fillId="0" borderId="0" pivotButton="0" quotePrefix="0" xfId="0"/>
    <xf numFmtId="166" fontId="32" fillId="0" borderId="0" pivotButton="0" quotePrefix="0" xfId="0"/>
    <xf numFmtId="0" fontId="31" fillId="0" borderId="0" pivotButton="0" quotePrefix="0" xfId="0"/>
    <xf numFmtId="168" fontId="32" fillId="0" borderId="0" pivotButton="0" quotePrefix="0" xfId="0"/>
    <xf numFmtId="167" fontId="32" fillId="0" borderId="0" pivotButton="0" quotePrefix="0" xfId="0"/>
    <xf numFmtId="169" fontId="30" fillId="18" borderId="0" pivotButton="0" quotePrefix="0" xfId="0"/>
    <xf numFmtId="167" fontId="22" fillId="19" borderId="0" pivotButton="0" quotePrefix="0" xfId="0"/>
    <xf numFmtId="167" fontId="22" fillId="20" borderId="0" pivotButton="0" quotePrefix="0" xfId="0"/>
    <xf numFmtId="167" fontId="22" fillId="21" borderId="0" pivotButton="0" quotePrefix="0" xfId="0"/>
    <xf numFmtId="168" fontId="30" fillId="18" borderId="0" applyAlignment="1" pivotButton="0" quotePrefix="0" xfId="0">
      <alignment horizontal="center" vertical="center"/>
    </xf>
    <xf numFmtId="167" fontId="32" fillId="20" borderId="0" pivotButton="0" quotePrefix="0" xfId="0"/>
    <xf numFmtId="167" fontId="34" fillId="0" borderId="0" pivotButton="0" quotePrefix="0" xfId="0"/>
    <xf numFmtId="166" fontId="38" fillId="0" borderId="0" pivotButton="0" quotePrefix="0" xfId="0"/>
    <xf numFmtId="0" fontId="33" fillId="22" borderId="0" pivotButton="0" quotePrefix="0" xfId="0"/>
    <xf numFmtId="0" fontId="35" fillId="0" borderId="0" pivotButton="0" quotePrefix="0" xfId="0"/>
    <xf numFmtId="167" fontId="36" fillId="23" borderId="0" pivotButton="0" quotePrefix="0" xfId="0"/>
    <xf numFmtId="167" fontId="22" fillId="24" borderId="0" pivotButton="0" quotePrefix="0" xfId="0"/>
    <xf numFmtId="168" fontId="37" fillId="0" borderId="0" pivotButton="0" quotePrefix="0" xfId="0"/>
    <xf numFmtId="167" fontId="35" fillId="0" borderId="0" pivotButton="0" quotePrefix="0" xfId="0"/>
    <xf numFmtId="166" fontId="35" fillId="0" borderId="0" pivotButton="0" quotePrefix="0" xfId="0"/>
    <xf numFmtId="167" fontId="39" fillId="0" borderId="0" pivotButton="0" quotePrefix="0" xfId="0"/>
    <xf numFmtId="0" fontId="40" fillId="0" borderId="0" pivotButton="0" quotePrefix="0" xfId="0"/>
    <xf numFmtId="168" fontId="43" fillId="27" borderId="0" pivotButton="0" quotePrefix="0" xfId="0"/>
    <xf numFmtId="0" fontId="42" fillId="0" borderId="0" pivotButton="0" quotePrefix="0" xfId="0"/>
    <xf numFmtId="0" fontId="41" fillId="25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42" fillId="0" borderId="0" applyAlignment="1" pivotButton="0" quotePrefix="0" xfId="0">
      <alignment horizontal="left" vertical="top" wrapText="1"/>
    </xf>
    <xf numFmtId="0" fontId="0" fillId="26" borderId="0" pivotButton="0" quotePrefix="0" xfId="0"/>
    <xf numFmtId="167" fontId="0" fillId="26" borderId="0" pivotButton="0" quotePrefix="0" xfId="0"/>
    <xf numFmtId="168" fontId="0" fillId="26" borderId="0" pivotButton="0" quotePrefix="0" xfId="0"/>
    <xf numFmtId="0" fontId="42" fillId="26" borderId="0" applyAlignment="1" pivotButton="0" quotePrefix="0" xfId="0">
      <alignment horizontal="left" vertical="top" wrapText="1"/>
    </xf>
    <xf numFmtId="166" fontId="44" fillId="0" borderId="0" pivotButton="0" quotePrefix="0" xfId="0"/>
    <xf numFmtId="0" fontId="45" fillId="0" borderId="0" pivotButton="0" quotePrefix="0" xfId="0"/>
    <xf numFmtId="9" fontId="47" fillId="28" borderId="0" pivotButton="0" quotePrefix="0" xfId="0"/>
    <xf numFmtId="0" fontId="46" fillId="0" borderId="0" pivotButton="0" quotePrefix="0" xfId="0"/>
    <xf numFmtId="0" fontId="22" fillId="0" borderId="0" applyAlignment="1" pivotButton="0" quotePrefix="0" xfId="0">
      <alignment horizontal="center"/>
    </xf>
    <xf numFmtId="0" fontId="48" fillId="0" borderId="0" pivotButton="0" quotePrefix="0" xfId="0"/>
    <xf numFmtId="0" fontId="49" fillId="0" borderId="0" pivotButton="0" quotePrefix="0" xfId="0"/>
    <xf numFmtId="9" fontId="50" fillId="29" borderId="0" pivotButton="0" quotePrefix="0" xfId="0"/>
    <xf numFmtId="0" fontId="51" fillId="0" borderId="0" pivotButton="0" quotePrefix="0" xfId="0"/>
    <xf numFmtId="0" fontId="53" fillId="0" borderId="0" pivotButton="0" quotePrefix="0" xfId="0"/>
    <xf numFmtId="0" fontId="54" fillId="31" borderId="0" pivotButton="0" quotePrefix="0" xfId="0"/>
    <xf numFmtId="172" fontId="55" fillId="0" borderId="0" pivotButton="0" quotePrefix="0" xfId="0"/>
    <xf numFmtId="0" fontId="56" fillId="32" borderId="0" pivotButton="0" quotePrefix="0" xfId="0"/>
    <xf numFmtId="172" fontId="57" fillId="33" borderId="0" pivotButton="0" quotePrefix="0" xfId="0"/>
    <xf numFmtId="0" fontId="22" fillId="34" borderId="0" pivotButton="0" quotePrefix="0" xfId="0"/>
    <xf numFmtId="167" fontId="22" fillId="34" borderId="0" pivotButton="0" quotePrefix="0" xfId="0"/>
    <xf numFmtId="0" fontId="25" fillId="35" borderId="0" pivotButton="0" quotePrefix="0" xfId="0"/>
    <xf numFmtId="167" fontId="25" fillId="35" borderId="0" pivotButton="0" quotePrefix="0" xfId="0"/>
    <xf numFmtId="165" fontId="12" fillId="6" borderId="0" pivotButton="0" quotePrefix="0" xfId="0"/>
    <xf numFmtId="0" fontId="61" fillId="38" borderId="0" applyAlignment="1" pivotButton="0" quotePrefix="0" xfId="0">
      <alignment vertical="top"/>
    </xf>
    <xf numFmtId="0" fontId="22" fillId="2" borderId="0" pivotButton="0" quotePrefix="0" xfId="0"/>
    <xf numFmtId="0" fontId="21" fillId="2" borderId="0" pivotButton="0" quotePrefix="0" xfId="0"/>
    <xf numFmtId="9" fontId="25" fillId="0" borderId="0" pivotButton="0" quotePrefix="0" xfId="0"/>
    <xf numFmtId="10" fontId="25" fillId="0" borderId="0" pivotButton="0" quotePrefix="0" xfId="0"/>
    <xf numFmtId="9" fontId="21" fillId="0" borderId="0" pivotButton="0" quotePrefix="0" xfId="0"/>
    <xf numFmtId="10" fontId="21" fillId="0" borderId="0" pivotButton="0" quotePrefix="0" xfId="0"/>
    <xf numFmtId="0" fontId="22" fillId="3" borderId="0" pivotButton="0" quotePrefix="0" xfId="0"/>
    <xf numFmtId="0" fontId="21" fillId="3" borderId="0" pivotButton="0" quotePrefix="0" xfId="0"/>
    <xf numFmtId="0" fontId="21" fillId="4" borderId="0" pivotButton="0" quotePrefix="0" xfId="0"/>
    <xf numFmtId="0" fontId="22" fillId="4" borderId="0" pivotButton="0" quotePrefix="0" xfId="0"/>
    <xf numFmtId="164" fontId="22" fillId="0" borderId="0" pivotButton="0" quotePrefix="0" xfId="0"/>
    <xf numFmtId="164" fontId="21" fillId="0" borderId="0" pivotButton="0" quotePrefix="0" xfId="0"/>
    <xf numFmtId="0" fontId="21" fillId="5" borderId="0" pivotButton="0" quotePrefix="0" xfId="0"/>
    <xf numFmtId="0" fontId="22" fillId="5" borderId="0" pivotButton="0" quotePrefix="0" xfId="0"/>
    <xf numFmtId="164" fontId="25" fillId="0" borderId="0" pivotButton="0" quotePrefix="0" xfId="0"/>
    <xf numFmtId="164" fontId="62" fillId="0" borderId="0" pivotButton="0" quotePrefix="0" xfId="0"/>
    <xf numFmtId="9" fontId="62" fillId="0" borderId="0" pivotButton="0" quotePrefix="0" xfId="0"/>
    <xf numFmtId="3" fontId="62" fillId="0" borderId="0" pivotButton="0" quotePrefix="0" xfId="0"/>
    <xf numFmtId="168" fontId="62" fillId="2" borderId="0" pivotButton="0" quotePrefix="0" xfId="0"/>
    <xf numFmtId="168" fontId="62" fillId="0" borderId="0" pivotButton="0" quotePrefix="0" xfId="0"/>
    <xf numFmtId="0" fontId="63" fillId="39" borderId="0" pivotButton="0" quotePrefix="0" xfId="0"/>
    <xf numFmtId="0" fontId="64" fillId="0" borderId="0" pivotButton="0" quotePrefix="0" xfId="0"/>
    <xf numFmtId="167" fontId="21" fillId="0" borderId="0" pivotButton="0" quotePrefix="0" xfId="0"/>
    <xf numFmtId="0" fontId="67" fillId="0" borderId="0" pivotButton="0" quotePrefix="0" xfId="0"/>
    <xf numFmtId="0" fontId="69" fillId="0" borderId="0" pivotButton="0" quotePrefix="0" xfId="0"/>
    <xf numFmtId="0" fontId="65" fillId="43" borderId="1" applyAlignment="1" pivotButton="0" quotePrefix="0" xfId="0">
      <alignment horizontal="left" vertical="center"/>
    </xf>
    <xf numFmtId="0" fontId="65" fillId="43" borderId="1" applyAlignment="1" pivotButton="0" quotePrefix="0" xfId="0">
      <alignment horizontal="center" vertical="center"/>
    </xf>
    <xf numFmtId="0" fontId="70" fillId="0" borderId="1" pivotButton="0" quotePrefix="0" xfId="0"/>
    <xf numFmtId="173" fontId="68" fillId="0" borderId="1" pivotButton="0" quotePrefix="0" xfId="0"/>
    <xf numFmtId="165" fontId="70" fillId="0" borderId="1" pivotButton="0" quotePrefix="0" xfId="0"/>
    <xf numFmtId="0" fontId="66" fillId="41" borderId="1" pivotButton="0" quotePrefix="0" xfId="0"/>
    <xf numFmtId="173" fontId="70" fillId="0" borderId="1" pivotButton="0" quotePrefix="0" xfId="0"/>
    <xf numFmtId="0" fontId="25" fillId="43" borderId="1" pivotButton="0" quotePrefix="0" xfId="0"/>
    <xf numFmtId="173" fontId="71" fillId="43" borderId="1" pivotButton="0" quotePrefix="0" xfId="0"/>
    <xf numFmtId="165" fontId="25" fillId="43" borderId="1" pivotButton="0" quotePrefix="0" xfId="0"/>
    <xf numFmtId="0" fontId="66" fillId="0" borderId="1" pivotButton="0" quotePrefix="0" xfId="0"/>
    <xf numFmtId="173" fontId="25" fillId="43" borderId="1" pivotButton="0" quotePrefix="0" xfId="0"/>
    <xf numFmtId="0" fontId="65" fillId="0" borderId="0" pivotButton="0" quotePrefix="0" xfId="0"/>
    <xf numFmtId="0" fontId="65" fillId="43" borderId="0" applyAlignment="1" pivotButton="0" quotePrefix="0" xfId="0">
      <alignment horizontal="center" vertical="center"/>
    </xf>
    <xf numFmtId="168" fontId="66" fillId="41" borderId="0" applyAlignment="1" pivotButton="0" quotePrefix="0" xfId="0">
      <alignment horizontal="center" vertical="center"/>
    </xf>
    <xf numFmtId="173" fontId="68" fillId="0" borderId="0" pivotButton="0" quotePrefix="0" xfId="0"/>
    <xf numFmtId="173" fontId="70" fillId="0" borderId="0" pivotButton="0" quotePrefix="0" xfId="0"/>
    <xf numFmtId="173" fontId="25" fillId="43" borderId="0" pivotButton="0" quotePrefix="0" xfId="0"/>
    <xf numFmtId="165" fontId="68" fillId="0" borderId="0" pivotButton="0" quotePrefix="0" xfId="0"/>
    <xf numFmtId="173" fontId="0" fillId="0" borderId="0" pivotButton="0" quotePrefix="0" xfId="0"/>
    <xf numFmtId="169" fontId="0" fillId="0" borderId="0" pivotButton="0" quotePrefix="0" xfId="0"/>
    <xf numFmtId="173" fontId="65" fillId="42" borderId="0" pivotButton="0" quotePrefix="0" xfId="0"/>
    <xf numFmtId="173" fontId="71" fillId="0" borderId="0" pivotButton="0" quotePrefix="0" xfId="0"/>
    <xf numFmtId="174" fontId="0" fillId="0" borderId="0" pivotButton="0" quotePrefix="0" xfId="0"/>
    <xf numFmtId="0" fontId="72" fillId="44" borderId="0" applyAlignment="1" pivotButton="0" quotePrefix="0" xfId="0">
      <alignment horizontal="center" vertical="center"/>
    </xf>
    <xf numFmtId="0" fontId="73" fillId="0" borderId="0" pivotButton="0" quotePrefix="0" xfId="0"/>
    <xf numFmtId="0" fontId="75" fillId="0" borderId="2" pivotButton="0" quotePrefix="0" xfId="0"/>
    <xf numFmtId="0" fontId="76" fillId="0" borderId="2" pivotButton="0" quotePrefix="0" xfId="0"/>
    <xf numFmtId="173" fontId="75" fillId="0" borderId="2" pivotButton="0" quotePrefix="0" xfId="0"/>
    <xf numFmtId="0" fontId="77" fillId="0" borderId="2" pivotButton="0" quotePrefix="0" xfId="0"/>
    <xf numFmtId="175" fontId="75" fillId="0" borderId="2" pivotButton="0" quotePrefix="0" xfId="0"/>
    <xf numFmtId="175" fontId="0" fillId="0" borderId="0" pivotButton="0" quotePrefix="0" xfId="0"/>
    <xf numFmtId="0" fontId="78" fillId="45" borderId="2" pivotButton="0" quotePrefix="0" xfId="0"/>
    <xf numFmtId="0" fontId="79" fillId="0" borderId="2" pivotButton="0" quotePrefix="0" xfId="0"/>
    <xf numFmtId="173" fontId="25" fillId="46" borderId="2" pivotButton="0" quotePrefix="0" xfId="0"/>
    <xf numFmtId="173" fontId="25" fillId="46" borderId="0" pivotButton="0" quotePrefix="0" xfId="0"/>
    <xf numFmtId="0" fontId="80" fillId="0" borderId="0" pivotButton="0" quotePrefix="0" xfId="0"/>
    <xf numFmtId="175" fontId="25" fillId="0" borderId="0" pivotButton="0" quotePrefix="0" xfId="0"/>
    <xf numFmtId="0" fontId="79" fillId="0" borderId="0" pivotButton="0" quotePrefix="0" xfId="0"/>
    <xf numFmtId="0" fontId="74" fillId="47" borderId="0" applyAlignment="1" pivotButton="0" quotePrefix="0" xfId="0">
      <alignment horizontal="right" vertical="center"/>
    </xf>
    <xf numFmtId="0" fontId="65" fillId="47" borderId="0" applyAlignment="1" pivotButton="0" quotePrefix="0" xfId="0">
      <alignment horizontal="right" vertical="center"/>
    </xf>
    <xf numFmtId="0" fontId="81" fillId="48" borderId="3" applyAlignment="1" pivotButton="0" quotePrefix="0" xfId="0">
      <alignment horizontal="center" vertical="center"/>
    </xf>
    <xf numFmtId="0" fontId="84" fillId="47" borderId="0" applyAlignment="1" pivotButton="0" quotePrefix="0" xfId="0">
      <alignment horizontal="left" vertical="center"/>
    </xf>
    <xf numFmtId="0" fontId="83" fillId="47" borderId="0" applyAlignment="1" pivotButton="0" quotePrefix="0" xfId="0">
      <alignment horizontal="right"/>
    </xf>
    <xf numFmtId="173" fontId="82" fillId="47" borderId="4" applyAlignment="1" pivotButton="0" quotePrefix="0" xfId="0">
      <alignment horizontal="right"/>
    </xf>
    <xf numFmtId="173" fontId="82" fillId="47" borderId="4" pivotButton="0" quotePrefix="0" xfId="0"/>
    <xf numFmtId="0" fontId="85" fillId="47" borderId="5" pivotButton="0" quotePrefix="0" xfId="0"/>
    <xf numFmtId="0" fontId="75" fillId="0" borderId="5" pivotButton="0" quotePrefix="0" xfId="0"/>
    <xf numFmtId="0" fontId="0" fillId="0" borderId="5" pivotButton="0" quotePrefix="0" xfId="0"/>
    <xf numFmtId="0" fontId="75" fillId="49" borderId="4" pivotButton="0" quotePrefix="0" xfId="0"/>
    <xf numFmtId="0" fontId="76" fillId="49" borderId="4" applyAlignment="1" pivotButton="0" quotePrefix="0" xfId="0">
      <alignment horizontal="center"/>
    </xf>
    <xf numFmtId="173" fontId="86" fillId="0" borderId="0" pivotButton="0" quotePrefix="0" xfId="0"/>
    <xf numFmtId="164" fontId="87" fillId="50" borderId="0" pivotButton="0" quotePrefix="0" xfId="0"/>
    <xf numFmtId="0" fontId="88" fillId="0" borderId="0" pivotButton="0" quotePrefix="0" xfId="0"/>
    <xf numFmtId="176" fontId="89" fillId="33" borderId="0" pivotButton="0" quotePrefix="0" xfId="0"/>
    <xf numFmtId="173" fontId="89" fillId="0" borderId="0" pivotButton="0" quotePrefix="0" xfId="0"/>
    <xf numFmtId="177" fontId="90" fillId="51" borderId="0" pivotButton="0" quotePrefix="0" xfId="0"/>
    <xf numFmtId="172" fontId="91" fillId="40" borderId="0" pivotButton="0" quotePrefix="0" xfId="0"/>
    <xf numFmtId="0" fontId="92" fillId="0" borderId="0" pivotButton="0" quotePrefix="0" xfId="0"/>
    <xf numFmtId="0" fontId="93" fillId="0" borderId="0" pivotButton="0" quotePrefix="0" xfId="0"/>
    <xf numFmtId="0" fontId="94" fillId="52" borderId="6" applyAlignment="1" pivotButton="0" quotePrefix="0" xfId="0">
      <alignment horizontal="center"/>
    </xf>
    <xf numFmtId="0" fontId="94" fillId="0" borderId="0" pivotButton="0" quotePrefix="0" xfId="0"/>
    <xf numFmtId="0" fontId="95" fillId="0" borderId="0" pivotButton="0" quotePrefix="0" xfId="0"/>
    <xf numFmtId="164" fontId="96" fillId="53" borderId="0" pivotButton="0" quotePrefix="0" xfId="0"/>
    <xf numFmtId="0" fontId="97" fillId="0" borderId="0" pivotButton="0" quotePrefix="0" xfId="0"/>
    <xf numFmtId="165" fontId="96" fillId="53" borderId="0" pivotButton="0" quotePrefix="0" xfId="0"/>
    <xf numFmtId="165" fontId="98" fillId="0" borderId="0" pivotButton="0" quotePrefix="0" xfId="0"/>
    <xf numFmtId="164" fontId="103" fillId="0" borderId="0" pivotButton="0" quotePrefix="0" xfId="0"/>
    <xf numFmtId="0" fontId="101" fillId="0" borderId="0" pivotButton="0" quotePrefix="0" xfId="0"/>
    <xf numFmtId="164" fontId="100" fillId="0" borderId="0" pivotButton="0" quotePrefix="0" xfId="0"/>
    <xf numFmtId="0" fontId="102" fillId="55" borderId="0" pivotButton="0" quotePrefix="0" xfId="0"/>
    <xf numFmtId="0" fontId="99" fillId="0" borderId="7" pivotButton="0" quotePrefix="0" xfId="0"/>
    <xf numFmtId="173" fontId="100" fillId="0" borderId="8" pivotButton="0" quotePrefix="0" xfId="0"/>
    <xf numFmtId="173" fontId="75" fillId="0" borderId="8" pivotButton="0" quotePrefix="0" xfId="0"/>
    <xf numFmtId="165" fontId="75" fillId="0" borderId="8" pivotButton="0" quotePrefix="0" xfId="0"/>
    <xf numFmtId="0" fontId="75" fillId="0" borderId="7" pivotButton="0" quotePrefix="0" xfId="0"/>
    <xf numFmtId="0" fontId="99" fillId="0" borderId="0" pivotButton="0" quotePrefix="0" xfId="0"/>
    <xf numFmtId="173" fontId="25" fillId="54" borderId="8" pivotButton="0" quotePrefix="0" xfId="0"/>
    <xf numFmtId="165" fontId="0" fillId="54" borderId="8" pivotButton="0" quotePrefix="0" xfId="0"/>
    <xf numFmtId="173" fontId="101" fillId="0" borderId="0" pivotButton="0" quotePrefix="0" xfId="0"/>
    <xf numFmtId="0" fontId="104" fillId="0" borderId="0" pivotButton="0" quotePrefix="0" xfId="0"/>
    <xf numFmtId="0" fontId="105" fillId="56" borderId="0" applyAlignment="1" pivotButton="0" quotePrefix="0" xfId="0">
      <alignment horizontal="center"/>
    </xf>
    <xf numFmtId="172" fontId="106" fillId="40" borderId="0" pivotButton="0" quotePrefix="0" xfId="0"/>
    <xf numFmtId="0" fontId="107" fillId="0" borderId="0" pivotButton="0" quotePrefix="0" xfId="0"/>
    <xf numFmtId="0" fontId="108" fillId="0" borderId="0" pivotButton="0" quotePrefix="0" xfId="0"/>
    <xf numFmtId="173" fontId="109" fillId="0" borderId="0" pivotButton="0" quotePrefix="0" xfId="0"/>
    <xf numFmtId="164" fontId="113" fillId="0" borderId="0" pivotButton="0" quotePrefix="0" xfId="0"/>
    <xf numFmtId="0" fontId="112" fillId="0" borderId="0" pivotButton="0" quotePrefix="0" xfId="0"/>
    <xf numFmtId="164" fontId="114" fillId="0" borderId="0" pivotButton="0" quotePrefix="0" xfId="0"/>
    <xf numFmtId="0" fontId="110" fillId="0" borderId="0" pivotButton="0" quotePrefix="0" xfId="0"/>
    <xf numFmtId="9" fontId="110" fillId="57" borderId="0" applyAlignment="1" pivotButton="0" quotePrefix="0" xfId="0">
      <alignment horizontal="center"/>
    </xf>
    <xf numFmtId="165" fontId="111" fillId="58" borderId="0" applyAlignment="1" pivotButton="0" quotePrefix="0" xfId="0">
      <alignment horizontal="center"/>
    </xf>
    <xf numFmtId="0" fontId="115" fillId="59" borderId="0" pivotButton="0" quotePrefix="0" xfId="0"/>
    <xf numFmtId="3" fontId="114" fillId="58" borderId="0" pivotButton="0" quotePrefix="0" xfId="0"/>
    <xf numFmtId="165" fontId="111" fillId="58" borderId="0" pivotButton="0" quotePrefix="0" xfId="0"/>
    <xf numFmtId="3" fontId="114" fillId="0" borderId="0" pivotButton="0" quotePrefix="0" xfId="0"/>
    <xf numFmtId="3" fontId="111" fillId="58" borderId="0" pivotButton="0" quotePrefix="0" xfId="0"/>
    <xf numFmtId="165" fontId="114" fillId="0" borderId="0" pivotButton="0" quotePrefix="0" xfId="0"/>
    <xf numFmtId="177" fontId="111" fillId="58" borderId="0" pivotButton="0" quotePrefix="0" xfId="0"/>
    <xf numFmtId="0" fontId="114" fillId="0" borderId="0" pivotButton="0" quotePrefix="0" xfId="0"/>
    <xf numFmtId="173" fontId="113" fillId="0" borderId="0" pivotButton="0" quotePrefix="0" xfId="0"/>
    <xf numFmtId="173" fontId="22" fillId="0" borderId="0" pivotButton="0" quotePrefix="0" xfId="0"/>
    <xf numFmtId="173" fontId="32" fillId="0" borderId="0" pivotButton="0" quotePrefix="0" xfId="0"/>
    <xf numFmtId="3" fontId="113" fillId="0" borderId="0" pivotButton="0" quotePrefix="0" xfId="0"/>
    <xf numFmtId="0" fontId="116" fillId="0" borderId="0" pivotButton="0" quotePrefix="0" xfId="0"/>
    <xf numFmtId="178" fontId="117" fillId="0" borderId="0" pivotButton="0" quotePrefix="0" xfId="0"/>
    <xf numFmtId="0" fontId="118" fillId="0" borderId="0" pivotButton="0" quotePrefix="0" xfId="0"/>
    <xf numFmtId="0" fontId="119" fillId="60" borderId="0" pivotButton="0" quotePrefix="0" xfId="0"/>
    <xf numFmtId="164" fontId="117" fillId="0" borderId="0" pivotButton="0" quotePrefix="0" xfId="0"/>
    <xf numFmtId="167" fontId="117" fillId="0" borderId="0" pivotButton="0" quotePrefix="0" xfId="0"/>
    <xf numFmtId="0" fontId="124" fillId="62" borderId="0" pivotButton="0" quotePrefix="0" xfId="0"/>
    <xf numFmtId="165" fontId="121" fillId="61" borderId="0" pivotButton="0" quotePrefix="0" xfId="0"/>
    <xf numFmtId="0" fontId="122" fillId="0" borderId="0" pivotButton="0" quotePrefix="0" xfId="0"/>
    <xf numFmtId="172" fontId="123" fillId="33" borderId="0" pivotButton="0" quotePrefix="0" xfId="0"/>
    <xf numFmtId="0" fontId="118" fillId="0" borderId="7" pivotButton="0" quotePrefix="0" xfId="0"/>
    <xf numFmtId="0" fontId="0" fillId="0" borderId="0" pivotButton="0" quotePrefix="0" xfId="0"/>
    <xf numFmtId="0" fontId="53" fillId="0" borderId="7" pivotButton="0" quotePrefix="0" xfId="0"/>
    <xf numFmtId="0" fontId="52" fillId="30" borderId="7" applyAlignment="1" pivotButton="0" quotePrefix="0" xfId="0">
      <alignment horizontal="center"/>
    </xf>
    <xf numFmtId="0" fontId="120" fillId="0" borderId="7" pivotButton="0" quotePrefix="0" xfId="0"/>
    <xf numFmtId="0" fontId="59" fillId="0" borderId="7" pivotButton="0" quotePrefix="0" xfId="0"/>
    <xf numFmtId="164" fontId="21" fillId="0" borderId="7" pivotButton="0" quotePrefix="0" xfId="0"/>
    <xf numFmtId="0" fontId="21" fillId="0" borderId="7" applyAlignment="1" pivotButton="0" quotePrefix="0" xfId="0">
      <alignment vertical="top" wrapText="1"/>
    </xf>
    <xf numFmtId="0" fontId="58" fillId="36" borderId="7" applyAlignment="1" pivotButton="0" quotePrefix="0" xfId="0">
      <alignment horizontal="center"/>
    </xf>
    <xf numFmtId="0" fontId="22" fillId="0" borderId="7" pivotButton="0" quotePrefix="0" xfId="0"/>
    <xf numFmtId="0" fontId="21" fillId="0" borderId="7" pivotButton="0" quotePrefix="0" xfId="0"/>
    <xf numFmtId="0" fontId="21" fillId="3" borderId="7" pivotButton="0" quotePrefix="0" xfId="0"/>
    <xf numFmtId="0" fontId="21" fillId="2" borderId="7" pivotButton="0" quotePrefix="0" xfId="0"/>
    <xf numFmtId="3" fontId="22" fillId="0" borderId="7" pivotButton="0" quotePrefix="0" xfId="0"/>
    <xf numFmtId="0" fontId="21" fillId="5" borderId="7" pivotButton="0" quotePrefix="0" xfId="0"/>
    <xf numFmtId="0" fontId="21" fillId="2" borderId="7" applyAlignment="1" pivotButton="0" quotePrefix="0" xfId="0">
      <alignment vertical="top" wrapText="1"/>
    </xf>
    <xf numFmtId="0" fontId="60" fillId="37" borderId="7" pivotButton="0" quotePrefix="0" xfId="0"/>
    <xf numFmtId="3" fontId="21" fillId="0" borderId="7" applyAlignment="1" pivotButton="0" quotePrefix="0" xfId="0">
      <alignment vertical="top" wrapText="1"/>
    </xf>
    <xf numFmtId="0" fontId="22" fillId="2" borderId="7" pivotButton="0" quotePrefix="0" xfId="0"/>
    <xf numFmtId="0" fontId="21" fillId="4" borderId="7" pivotButton="0" quotePrefix="0" xfId="0"/>
    <xf numFmtId="0" fontId="28" fillId="0" borderId="7" applyAlignment="1" pivotButton="0" quotePrefix="0" xfId="0">
      <alignment horizontal="left" vertical="top" wrapText="1"/>
    </xf>
    <xf numFmtId="0" fontId="42" fillId="0" borderId="7" applyAlignment="1" pivotButton="0" quotePrefix="0" xfId="0">
      <alignment horizontal="left" vertical="top" wrapText="1"/>
    </xf>
    <xf numFmtId="0" fontId="28" fillId="0" borderId="7" pivotButton="0" quotePrefix="0" xfId="0"/>
    <xf numFmtId="0" fontId="27" fillId="16" borderId="7" applyAlignment="1" pivotButton="0" quotePrefix="0" xfId="0">
      <alignment horizontal="center" vertical="center"/>
    </xf>
    <xf numFmtId="0" fontId="15" fillId="0" borderId="7" pivotButton="0" quotePrefix="0" xfId="0"/>
    <xf numFmtId="0" fontId="19" fillId="11" borderId="7" applyAlignment="1" pivotButton="0" quotePrefix="0" xfId="0">
      <alignment horizontal="center" vertical="center"/>
    </xf>
    <xf numFmtId="0" fontId="125" fillId="0" borderId="0" pivotButton="0" quotePrefix="0" xfId="0"/>
    <xf numFmtId="0" fontId="126" fillId="0" borderId="0" applyAlignment="1" pivotButton="0" quotePrefix="0" xfId="0">
      <alignment vertical="top" wrapText="1"/>
    </xf>
    <xf numFmtId="0" fontId="127" fillId="63" borderId="0" pivotButton="0" quotePrefix="0" xfId="0"/>
    <xf numFmtId="0" fontId="127" fillId="0" borderId="0" pivotButton="0" quotePrefix="0" xfId="0"/>
    <xf numFmtId="0" fontId="0" fillId="0" borderId="0" applyAlignment="1" pivotButton="0" quotePrefix="0" xfId="0">
      <alignment vertical="top" wrapText="1"/>
    </xf>
    <xf numFmtId="0" fontId="128" fillId="0" borderId="0" pivotButton="0" quotePrefix="0" xfId="0"/>
    <xf numFmtId="0" fontId="12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37A"/>
      <rgbColor rgb="FFC0C0C0"/>
      <rgbColor rgb="FF808080"/>
      <rgbColor rgb="FF9999FF"/>
      <rgbColor rgb="FF993366"/>
      <rgbColor rgb="FFFFF5E6"/>
      <rgbColor rgb="FFE6FF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8"/>
      <rgbColor rgb="FFD4E8ED"/>
      <rgbColor rgb="FFFFF3E6"/>
      <rgbColor rgb="FF99CCFF"/>
      <rgbColor rgb="FFFF99CC"/>
      <rgbColor rgb="FFCC99FF"/>
      <rgbColor rgb="FFFFCC99"/>
      <rgbColor rgb="FF3366FF"/>
      <rgbColor rgb="FF14B8A6"/>
      <rgbColor rgb="FF99CC00"/>
      <rgbColor rgb="FFFFCC00"/>
      <rgbColor rgb="FFFF9900"/>
      <rgbColor rgb="FFE67E22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" customWidth="1" style="277" min="1" max="1"/>
    <col width="30" customWidth="1" style="277" min="2" max="2"/>
    <col width="64" customWidth="1" style="277" min="3" max="3"/>
    <col width="30" customWidth="1" style="277" min="4" max="4"/>
  </cols>
  <sheetData>
    <row r="1" ht="30" customHeight="1" s="277">
      <c r="A1" s="302" t="inlineStr">
        <is>
          <t>ZEZAMII CLOUD — MODEL REVIEW &amp; CHANGELOG (v53 → v54)</t>
        </is>
      </c>
    </row>
    <row r="2" ht="30" customHeight="1" s="277">
      <c r="A2" s="303" t="inlineStr">
        <is>
          <t>Independent review + reconciliation to FY26 P&amp;L actuals. Open in Excel/Google Sheets — workbook is set to full-recalc on load.</t>
        </is>
      </c>
    </row>
    <row r="3" ht="30" customHeight="1" s="277"/>
    <row r="4" ht="30" customHeight="1" s="277">
      <c r="A4" s="304" t="inlineStr">
        <is>
          <t>FIX #1 — Base case = Standalone (LSC not committed)</t>
        </is>
      </c>
    </row>
    <row r="5" ht="30" customHeight="1" s="277">
      <c r="B5" s="305" t="inlineStr">
        <is>
          <t>Dashboard!B5</t>
        </is>
      </c>
      <c r="C5" s="306" t="inlineStr">
        <is>
          <t>Growth scenario set M → S. S = standalone (no LSC). M/L are upside contingent on LSC signing.</t>
        </is>
      </c>
    </row>
    <row r="6" ht="30" customHeight="1" s="277">
      <c r="B6" s="305" t="inlineStr">
        <is>
          <t>Valuation!C41:E43</t>
        </is>
      </c>
      <c r="C6" s="306" t="inlineStr">
        <is>
          <t>LSC strategic-premium attribution set to 0. Base pre-money is now FINANCIAL-ONLY. Restore HW 0.5 / accel 1.0 / panel 1.0 when LSC commits.</t>
        </is>
      </c>
    </row>
    <row r="7" ht="30" customHeight="1" s="277"/>
    <row r="8" ht="30" customHeight="1" s="277">
      <c r="A8" s="304" t="inlineStr">
        <is>
          <t>FIX #2 — One engine (display reconciled to revenue)</t>
        </is>
      </c>
    </row>
    <row r="9" ht="30" customHeight="1" s="277">
      <c r="B9" s="305" t="inlineStr">
        <is>
          <t>Dashboard!B11:F12</t>
        </is>
      </c>
      <c r="C9" s="306" t="inlineStr">
        <is>
          <t>Site display was the Revenue-tab path (29→701); the P&amp;L SaaS revenue is built from the Product Forecast blocks (active 920/1622/3236). Repointed the displayed sites to the Product Forecast active-site path so "sites → ARR" is consistent. No revenue number changed.</t>
        </is>
      </c>
    </row>
    <row r="10" ht="30" customHeight="1" s="277">
      <c r="B10" s="307" t="inlineStr">
        <is>
          <t>OPEN DECISION</t>
        </is>
      </c>
      <c r="C10" s="306" t="inlineStr">
        <is>
          <t>ACaaS units still key off the Revenue-tab site path, and the S/standalone block is seeded at 62 Y1 sites vs ~30 FY26 actual direct capacity. To FULLY unify: either (a) re-seed Product Forecast S units to ~30 direct installs/yr (honest standalone), or (b) drive all module units from one site count via explicit attach rates. Tell me the standalone Y1 capacity and I will finish it.</t>
        </is>
      </c>
    </row>
    <row r="11" ht="30" customHeight="1" s="277"/>
    <row r="12" ht="30" customHeight="1" s="277">
      <c r="A12" s="304" t="inlineStr">
        <is>
          <t>FIX #3 — Reconciled to FY26 actuals; single-value inputs; label fixes</t>
        </is>
      </c>
    </row>
    <row r="13" ht="30" customHeight="1" s="277">
      <c r="B13" s="305" t="inlineStr">
        <is>
          <t>Assumptions!B41</t>
        </is>
      </c>
      <c r="C13" s="306" t="inlineStr">
        <is>
          <t>Y0 ARR $120,000 → $139,000 (FY26 actual own-software recurring; excludes $202k Verkada resale).</t>
        </is>
      </c>
    </row>
    <row r="14" ht="30" customHeight="1" s="277">
      <c r="B14" s="305" t="inlineStr">
        <is>
          <t>P&amp;L / Revenue labels</t>
        </is>
      </c>
      <c r="C14" s="306" t="inlineStr">
        <is>
          <t>Hardware-margin labels corrected to the engine's real 25% Zezamii / 75% LSC (text said 20/35/65/15% in places; the math was always 25/75).</t>
        </is>
      </c>
    </row>
    <row r="15" ht="30" customHeight="1" s="277">
      <c r="B15" s="305" t="inlineStr">
        <is>
          <t>Overview headline</t>
        </is>
      </c>
      <c r="C15" s="306" t="inlineStr">
        <is>
          <t>Stale Y5 sites 2,300/4,600 → 1,622/3,236; churn note 10% → 5% (engine value); Y0 ARR → $139k; refresh note.</t>
        </is>
      </c>
    </row>
    <row r="16" ht="30" customHeight="1" s="277">
      <c r="B16" s="308" t="inlineStr">
        <is>
          <t>Note on churn/booking</t>
        </is>
      </c>
      <c r="C16" s="306" t="inlineStr">
        <is>
          <t>Earlier "churn 10%" and "booking 0%" were STALE CACHED values, not errors — the live inputs are churn 5% and booking 2.5%. Left unchanged.</t>
        </is>
      </c>
    </row>
    <row r="17" ht="30" customHeight="1" s="277"/>
    <row r="18" ht="30" customHeight="1" s="277">
      <c r="A18" s="304" t="inlineStr">
        <is>
          <t>FY26 P&amp;L reconciliation (anchor)</t>
        </is>
      </c>
    </row>
    <row r="19" ht="30" customHeight="1" s="277">
      <c r="B19" s="305" t="inlineStr">
        <is>
          <t>Total income</t>
        </is>
      </c>
      <c r="C19" s="306" t="inlineStr">
        <is>
          <t>$1,179,811 — 29% licence / 71% one-off (hardware+install+consulting). Net loss $(319,583).</t>
        </is>
      </c>
    </row>
    <row r="20" ht="30" customHeight="1" s="277">
      <c r="B20" s="305" t="inlineStr">
        <is>
          <t>Own-software recurring</t>
        </is>
      </c>
      <c r="C20" s="306" t="inlineStr">
        <is>
          <t>~$139,428 (Cloud 24.5k + Rooms 46.4k + Lockers 50.3k + Vortex 16.9k + Zezamii 1.4k).</t>
        </is>
      </c>
    </row>
    <row r="21" ht="30" customHeight="1" s="277">
      <c r="B21" s="305" t="inlineStr">
        <is>
          <t>Rooms ARR/site</t>
        </is>
      </c>
      <c r="C21" s="306" t="inlineStr">
        <is>
          <t>$1,545 (46,354 ÷ 30 customers) — the one hard bottom-up anchor.</t>
        </is>
      </c>
    </row>
    <row r="22" ht="30" customHeight="1" s="277">
      <c r="B22" s="305" t="inlineStr">
        <is>
          <t>Hardware GM (FY26)</t>
        </is>
      </c>
      <c r="C22" s="306" t="inlineStr">
        <is>
          <t>−6.5% (Income $366.5k vs Cost $390.4k). Model assumes +25% — aspirational; flag.</t>
        </is>
      </c>
    </row>
    <row r="23" ht="30" customHeight="1" s="277"/>
    <row r="24" ht="30" customHeight="1" s="277">
      <c r="A24" s="304" t="inlineStr">
        <is>
          <t>Limitations of this pass</t>
        </is>
      </c>
    </row>
    <row r="25" ht="30" customHeight="1" s="277">
      <c r="B25" s="308" t="inlineStr">
        <is>
          <t>Recalc</t>
        </is>
      </c>
      <c r="C25" s="306" t="inlineStr">
        <is>
          <t>LibreOffice could not run headless in the build environment, so cached preview numbers are stale until you open the file (fullCalcOnLoad is set — Excel/Sheets recalc automatically). Only input/label cells were edited; no formula structure was 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82"/>
  <sheetViews>
    <sheetView showGridLines="0" zoomScaleNormal="100" workbookViewId="0">
      <selection activeCell="C9" sqref="C9:G9"/>
    </sheetView>
  </sheetViews>
  <sheetFormatPr baseColWidth="8" defaultColWidth="8.69140625" defaultRowHeight="14.6"/>
  <cols>
    <col width="2" customWidth="1" style="277" min="1" max="1"/>
    <col width="12" customWidth="1" style="277" min="2" max="2"/>
    <col width="28" customWidth="1" style="277" min="3" max="3"/>
    <col width="18" customWidth="1" style="277" min="4" max="4"/>
    <col width="14" customWidth="1" style="277" min="5" max="7"/>
    <col width="3" customWidth="1" style="277" min="8" max="8"/>
  </cols>
  <sheetData>
    <row r="1" ht="26.05" customHeight="1" s="277">
      <c r="B1" s="284" t="inlineStr">
        <is>
          <t>ZEZAMII CLOUD - FINANCIAL MODEL</t>
        </is>
      </c>
    </row>
    <row r="2" ht="15.45" customHeight="1" s="277">
      <c r="B2" s="281" t="inlineStr">
        <is>
          <t>Five-year forecast for LSC investment scenarios. Product-driven revenue across 6 SaaS lines + hardware, 3 growth scenarios.</t>
        </is>
      </c>
    </row>
    <row r="4" ht="17.6" customHeight="1" s="277">
      <c r="B4" s="292" t="inlineStr">
        <is>
          <t>HOW TO USE THIS MODEL</t>
        </is>
      </c>
    </row>
    <row r="5">
      <c r="B5" s="136" t="inlineStr">
        <is>
          <t>STEP 1</t>
        </is>
      </c>
      <c r="C5" s="285" t="inlineStr">
        <is>
          <t>Review Assumptions</t>
        </is>
      </c>
    </row>
    <row r="6" ht="35.05" customHeight="1" s="277">
      <c r="C6" s="283" t="inlineStr">
        <is>
          <t>Open the Assumptions sheet. Yellow cells are editable inputs: Cloud subscription tier prices, module prices, partner margin (35%), Y0 ARR ($120K existing), growth scenario inputs (Y1 sites + multiplier per S/M/L), churn rate (7%), team opex inputs, cost scaling targets.</t>
        </is>
      </c>
    </row>
    <row r="8">
      <c r="B8" s="136" t="inlineStr">
        <is>
          <t>STEP 2</t>
        </is>
      </c>
      <c r="C8" s="285" t="inlineStr">
        <is>
          <t>Select scenario on Dashboard</t>
        </is>
      </c>
    </row>
    <row r="9" ht="83.05" customHeight="1" s="277">
      <c r="B9" s="3" t="n"/>
      <c r="C9" s="291" t="inlineStr">
        <is>
          <t>On the Dashboard sheet, choose:
  - Growth scenario (B5): S / M / L (drives revenue)
  - Team model (B7): Product / Zezamii / Zezamii LSC (drives team costs/burn)
  - LSC Investment Scenario (B8): A / B / C / D (cash vs LSC equity mix)</t>
        </is>
      </c>
    </row>
    <row r="10">
      <c r="B10" s="5" t="n"/>
    </row>
    <row r="11">
      <c r="B11" s="136" t="inlineStr">
        <is>
          <t>STEP 3</t>
        </is>
      </c>
      <c r="C11" s="289" t="inlineStr">
        <is>
          <t>Edit product unit forecasts</t>
        </is>
      </c>
    </row>
    <row r="12" ht="35.05" customHeight="1" s="277">
      <c r="C12" s="293" t="inlineStr">
        <is>
          <t>Open Product Forecast (sheet 4). Each scenario block (S, M, L) has yellow cells for unit counts per product per year. Type any number to override - revenue updates instantly. Defaults are seeded but fully editable.</t>
        </is>
      </c>
    </row>
    <row r="13">
      <c r="C13" s="6" t="n"/>
    </row>
    <row r="14">
      <c r="B14" s="136" t="inlineStr">
        <is>
          <t>STEP 4</t>
        </is>
      </c>
      <c r="C14" s="285" t="inlineStr">
        <is>
          <t>Review P&amp;L</t>
        </is>
      </c>
    </row>
    <row r="15" ht="35.05" customHeight="1" s="277">
      <c r="C15" s="283" t="inlineStr">
        <is>
          <t>P&amp;L sheet shows the 5-year income statement for selected scenario. SaaS Revenue + Hardware Revenue, gross profit, margins. Updates automatically based on Dashboard selections and Product Forecast inputs.</t>
        </is>
      </c>
    </row>
    <row r="16" ht="17.6" customHeight="1" s="277">
      <c r="B16" s="3" t="n"/>
      <c r="C16" s="4" t="n"/>
      <c r="D16" s="4" t="n"/>
      <c r="E16" s="4" t="n"/>
      <c r="F16" s="4" t="n"/>
      <c r="G16" s="4" t="n"/>
    </row>
    <row r="17">
      <c r="B17" s="136" t="inlineStr">
        <is>
          <t>STEP 5</t>
        </is>
      </c>
      <c r="C17" s="285" t="inlineStr">
        <is>
          <t>Check Cash Flow</t>
        </is>
      </c>
    </row>
    <row r="18" ht="35.05" customHeight="1" s="277">
      <c r="C18" s="293" t="inlineStr">
        <is>
          <t>Cash Flow sheet shows opening cash, investment received (from LSC scenario), revenue collected, opex burned, closing cash position. Verify runway under selected scenarios.</t>
        </is>
      </c>
    </row>
    <row r="19">
      <c r="C19" s="6" t="n"/>
    </row>
    <row r="20">
      <c r="B20" s="136" t="inlineStr">
        <is>
          <t>STEP 6</t>
        </is>
      </c>
      <c r="C20" s="289" t="inlineStr">
        <is>
          <t>Review LSC investment decisions</t>
        </is>
      </c>
    </row>
    <row r="21" ht="35.05" customHeight="1" s="277">
      <c r="B21" s="7" t="n"/>
      <c r="C21" s="283" t="inlineStr">
        <is>
          <t>LSC Investment: enter pre-money valuation, see ownership % and runway by scenario A/B/C/D. LSC Returns: IRR/MOIC for LSC at each scenario. LSC Sensitivity: pre-money grids by EBITDA x multiple.</t>
        </is>
      </c>
    </row>
    <row r="23" ht="17.6" customHeight="1" s="277">
      <c r="B23" s="136" t="inlineStr">
        <is>
          <t>STEP 7</t>
        </is>
      </c>
      <c r="C23" s="294" t="inlineStr">
        <is>
          <t>Look at Valuation</t>
        </is>
      </c>
    </row>
    <row r="24" ht="35.05" customHeight="1" s="277">
      <c r="B24" s="5" t="n"/>
      <c r="C24" s="283" t="inlineStr">
        <is>
          <t>Valuation sheet shows pre-money derivation: ACaaS comps (Brivo, Openpath, Verkada), DCF on forecast, strategic premium (LSC partnership capture), build cost floor. Outputs Conservative / Base / Aggressive pre-money ranges.</t>
        </is>
      </c>
    </row>
    <row r="25">
      <c r="C25" s="8" t="n"/>
      <c r="E25" s="9" t="n"/>
    </row>
    <row r="26">
      <c r="C26" s="8" t="n"/>
      <c r="E26" s="9" t="n"/>
    </row>
    <row r="27" ht="15.45" customHeight="1" s="277">
      <c r="B27" s="292" t="inlineStr">
        <is>
          <t>BUSINESS OVERVIEW</t>
        </is>
      </c>
    </row>
    <row r="28">
      <c r="B28" s="286" t="inlineStr">
        <is>
          <t>- Zezamii Cloud is a B2B SaaS access control platform with integrated hardware sales.</t>
        </is>
      </c>
    </row>
    <row r="29">
      <c r="B29" s="286" t="inlineStr">
        <is>
          <t>- Revenue streams: SaaS subscriptions (Cloud Base + Access + Rooms + Lockers + Integrate + ACaaS) + Hardware (locks + panels).</t>
        </is>
      </c>
    </row>
    <row r="30">
      <c r="B30" s="286" t="inlineStr">
        <is>
          <t>- Target markets: commercial buildings, holiday parks, co-working, multi-tenant residential.</t>
        </is>
      </c>
    </row>
    <row r="31" ht="17.6" customHeight="1" s="277">
      <c r="B31" s="288" t="inlineStr">
        <is>
          <t>- LSC partnership creates warm lead pipeline + lock pull-through (LSC sells hardware via Zezamii channel).</t>
        </is>
      </c>
    </row>
    <row r="32">
      <c r="B32" s="5" t="n"/>
    </row>
    <row r="33" ht="15.45" customHeight="1" s="277">
      <c r="B33" s="292" t="inlineStr">
        <is>
          <t>GROWTH SCENARIO DEFINITIONS</t>
        </is>
      </c>
    </row>
    <row r="34">
      <c r="B34" s="78" t="inlineStr">
        <is>
          <t>Scenario</t>
        </is>
      </c>
      <c r="C34" s="139" t="inlineStr">
        <is>
          <t>Description</t>
        </is>
      </c>
      <c r="D34" s="140" t="inlineStr">
        <is>
          <t>Y5 Cloud Sites</t>
        </is>
      </c>
      <c r="E34" s="78" t="inlineStr">
        <is>
          <t>Y5 SaaS ARR</t>
        </is>
      </c>
    </row>
    <row r="35">
      <c r="B35" s="59" t="inlineStr">
        <is>
          <t>S</t>
        </is>
      </c>
      <c r="C35" s="141" t="inlineStr">
        <is>
          <t>Conservative / STANDALONE — no LSC channel. BASE CASE until LSC commits.</t>
        </is>
      </c>
      <c r="D35" s="142" t="n">
        <v>920</v>
      </c>
      <c r="E35" s="55" t="inlineStr">
        <is>
          <t>standalone — see Dashboard for live ARR</t>
        </is>
      </c>
    </row>
    <row r="36">
      <c r="B36" s="59" t="inlineStr">
        <is>
          <t>M</t>
        </is>
      </c>
      <c r="C36" s="141" t="inlineStr">
        <is>
          <t>Plan-of-record - modest LSC channel commitment. M = S x 2.5.</t>
        </is>
      </c>
      <c r="D36" s="142" t="n">
        <v>1622</v>
      </c>
      <c r="E36" s="55" t="inlineStr">
        <is>
          <t>with LSC (upside)</t>
        </is>
      </c>
    </row>
    <row r="37">
      <c r="B37" s="59" t="inlineStr">
        <is>
          <t>L</t>
        </is>
      </c>
      <c r="C37" s="141" t="inlineStr">
        <is>
          <t>Aggressive - full LSC channel commitment. L = S x 5.</t>
        </is>
      </c>
      <c r="D37" s="142" t="n">
        <v>3236</v>
      </c>
      <c r="E37" s="55" t="inlineStr">
        <is>
          <t>with LSC (upside)</t>
        </is>
      </c>
    </row>
    <row r="38">
      <c r="C38" s="8" t="n"/>
      <c r="D38" s="10" t="n"/>
    </row>
    <row r="39" ht="15.45" customHeight="1" s="277">
      <c r="B39" s="292" t="inlineStr">
        <is>
          <t>TEAM MODELS</t>
        </is>
      </c>
    </row>
    <row r="40">
      <c r="B40" s="78" t="inlineStr">
        <is>
          <t>Model</t>
        </is>
      </c>
      <c r="C40" s="78" t="inlineStr">
        <is>
          <t>Y1 Opex</t>
        </is>
      </c>
      <c r="D40" s="78" t="inlineStr">
        <is>
          <t>Composition</t>
        </is>
      </c>
    </row>
    <row r="41" ht="17.6" customHeight="1" s="277">
      <c r="B41" s="137" t="inlineStr">
        <is>
          <t>Product</t>
        </is>
      </c>
      <c r="C41" s="138" t="inlineStr">
        <is>
          <t>$608K/yr</t>
        </is>
      </c>
      <c r="D41" s="288" t="inlineStr">
        <is>
          <t>Lean: Glenn + Kishan + Duvan</t>
        </is>
      </c>
    </row>
    <row r="42">
      <c r="B42" s="143" t="inlineStr">
        <is>
          <t>Zezamii</t>
        </is>
      </c>
      <c r="C42" s="144" t="inlineStr">
        <is>
          <t>$800K/yr</t>
        </is>
      </c>
      <c r="D42" s="287" t="inlineStr">
        <is>
          <t>Current team: Glenn + Kishan + Duvan + Warren + Luke</t>
        </is>
      </c>
    </row>
    <row r="43">
      <c r="B43" s="59" t="inlineStr">
        <is>
          <t>Zezamii LSC</t>
        </is>
      </c>
      <c r="C43" s="55" t="inlineStr">
        <is>
          <t>$1.2M/yr</t>
        </is>
      </c>
      <c r="D43" s="286" t="inlineStr">
        <is>
          <t>Expanded: current team + trigger-based sales/support hires</t>
        </is>
      </c>
    </row>
    <row r="45" ht="15.45" customHeight="1" s="277">
      <c r="B45" s="292" t="inlineStr">
        <is>
          <t>SHEET INDEX</t>
        </is>
      </c>
    </row>
    <row r="46">
      <c r="B46" s="78" t="inlineStr">
        <is>
          <t>#</t>
        </is>
      </c>
      <c r="C46" s="78" t="inlineStr">
        <is>
          <t>Sheet</t>
        </is>
      </c>
      <c r="D46" s="78" t="inlineStr">
        <is>
          <t>Purpose</t>
        </is>
      </c>
    </row>
    <row r="47">
      <c r="B47" s="55" t="inlineStr">
        <is>
          <t>1</t>
        </is>
      </c>
      <c r="C47" s="59" t="inlineStr">
        <is>
          <t>1. Overview</t>
        </is>
      </c>
      <c r="D47" s="286" t="inlineStr">
        <is>
          <t>This page - narrative + instructions</t>
        </is>
      </c>
    </row>
    <row r="48">
      <c r="B48" s="145" t="inlineStr">
        <is>
          <t>2</t>
        </is>
      </c>
      <c r="C48" s="146" t="inlineStr">
        <is>
          <t>2. Dashboard</t>
        </is>
      </c>
      <c r="D48" s="295" t="inlineStr">
        <is>
          <t>Scenario selectors (growth / team / LSC investment)</t>
        </is>
      </c>
    </row>
    <row r="49">
      <c r="B49" s="55" t="inlineStr">
        <is>
          <t>3</t>
        </is>
      </c>
      <c r="C49" s="59" t="inlineStr">
        <is>
          <t>3. Assumptions</t>
        </is>
      </c>
      <c r="D49" s="286" t="inlineStr">
        <is>
          <t>All editable inputs (prices, churn, growth, costs)</t>
        </is>
      </c>
    </row>
    <row r="50">
      <c r="B50" s="55" t="inlineStr">
        <is>
          <t>4</t>
        </is>
      </c>
      <c r="C50" s="59" t="inlineStr">
        <is>
          <t>4. Product Forecast</t>
        </is>
      </c>
      <c r="D50" s="286" t="inlineStr">
        <is>
          <t>Unit counts + revenue per product per scenario (edit yellow cells)</t>
        </is>
      </c>
    </row>
    <row r="51">
      <c r="B51" s="55" t="inlineStr">
        <is>
          <t>5</t>
        </is>
      </c>
      <c r="C51" s="59" t="inlineStr">
        <is>
          <t>5. P&amp;L</t>
        </is>
      </c>
      <c r="D51" s="286" t="inlineStr">
        <is>
          <t>5-year income statement - SaaS + Hardware</t>
        </is>
      </c>
    </row>
    <row r="52">
      <c r="B52" s="55" t="inlineStr">
        <is>
          <t>6</t>
        </is>
      </c>
      <c r="C52" s="59" t="inlineStr">
        <is>
          <t>6. Cash Flow</t>
        </is>
      </c>
      <c r="D52" s="286" t="inlineStr">
        <is>
          <t>5-year cash position + investment + runway</t>
        </is>
      </c>
    </row>
    <row r="53">
      <c r="B53" s="55" t="inlineStr">
        <is>
          <t>7</t>
        </is>
      </c>
      <c r="C53" s="59" t="inlineStr">
        <is>
          <t>7. Valuation</t>
        </is>
      </c>
      <c r="D53" s="286" t="inlineStr">
        <is>
          <t>Pre-money: comps + DCF + strategic premium + build cost</t>
        </is>
      </c>
    </row>
    <row r="54" ht="17.6" customHeight="1" s="277">
      <c r="B54" s="138" t="inlineStr">
        <is>
          <t>8</t>
        </is>
      </c>
      <c r="C54" s="137" t="inlineStr">
        <is>
          <t>8. LSC Investment</t>
        </is>
      </c>
      <c r="D54" s="288" t="inlineStr">
        <is>
          <t>Cash/equity investment scenarios A/B/C/D</t>
        </is>
      </c>
    </row>
    <row r="55">
      <c r="B55" s="55" t="inlineStr">
        <is>
          <t>9</t>
        </is>
      </c>
      <c r="C55" s="59" t="inlineStr">
        <is>
          <t>9. LSC Returns</t>
        </is>
      </c>
      <c r="D55" s="286" t="inlineStr">
        <is>
          <t>LSC IRR / MOIC at different pre-money points</t>
        </is>
      </c>
    </row>
    <row r="56">
      <c r="B56" s="55" t="inlineStr">
        <is>
          <t>10</t>
        </is>
      </c>
      <c r="C56" s="147" t="inlineStr">
        <is>
          <t>10. LSC Sensitivity</t>
        </is>
      </c>
      <c r="D56" s="282" t="inlineStr">
        <is>
          <t>Pre-money sensitivity grids</t>
        </is>
      </c>
    </row>
    <row r="57">
      <c r="B57" s="55" t="inlineStr">
        <is>
          <t>11</t>
        </is>
      </c>
      <c r="C57" s="147" t="inlineStr">
        <is>
          <t>Revenue</t>
        </is>
      </c>
      <c r="D57" s="282" t="inlineStr">
        <is>
          <t>Site growth ramp, ARR build, hardware revenue (support)</t>
        </is>
      </c>
    </row>
    <row r="58">
      <c r="B58" s="55" t="inlineStr">
        <is>
          <t>12</t>
        </is>
      </c>
      <c r="C58" s="147" t="inlineStr">
        <is>
          <t>Team Summary</t>
        </is>
      </c>
      <c r="D58" s="282" t="inlineStr">
        <is>
          <t>Selected team aggregator + opex floor scaling (support)</t>
        </is>
      </c>
    </row>
    <row r="59">
      <c r="B59" s="55" t="inlineStr">
        <is>
          <t>13</t>
        </is>
      </c>
      <c r="C59" s="59" t="inlineStr">
        <is>
          <t>Team - Zezamii</t>
        </is>
      </c>
      <c r="D59" s="286" t="inlineStr">
        <is>
          <t>Team cost detail (support)</t>
        </is>
      </c>
    </row>
    <row r="60">
      <c r="B60" s="149" t="inlineStr">
        <is>
          <t>14</t>
        </is>
      </c>
      <c r="C60" s="150" t="inlineStr">
        <is>
          <t>Team - Product</t>
        </is>
      </c>
      <c r="D60" s="290" t="inlineStr">
        <is>
          <t>Team cost detail (support)</t>
        </is>
      </c>
    </row>
    <row r="61">
      <c r="B61" s="55" t="inlineStr">
        <is>
          <t>15</t>
        </is>
      </c>
      <c r="C61" s="59" t="inlineStr">
        <is>
          <t>Team - LSC</t>
        </is>
      </c>
      <c r="D61" s="286" t="inlineStr">
        <is>
          <t>Team cost detail (support)</t>
        </is>
      </c>
    </row>
    <row r="62">
      <c r="C62" s="6" t="n"/>
      <c r="D62" s="6" t="n"/>
      <c r="E62" s="6" t="n"/>
      <c r="F62" s="6" t="n"/>
    </row>
    <row r="63" ht="15.45" customHeight="1" s="277">
      <c r="B63" s="292" t="inlineStr">
        <is>
          <t>KEY EDITABLE ASSUMPTIONS (live cell references)</t>
        </is>
      </c>
    </row>
    <row r="64">
      <c r="B64" s="78" t="inlineStr">
        <is>
          <t>What</t>
        </is>
      </c>
      <c r="C64" s="151" t="inlineStr">
        <is>
          <t>Cell</t>
        </is>
      </c>
      <c r="D64" s="151" t="inlineStr">
        <is>
          <t>Current</t>
        </is>
      </c>
      <c r="E64" s="9" t="n"/>
      <c r="F64" s="9" t="n"/>
    </row>
    <row r="65">
      <c r="B65" s="55" t="inlineStr">
        <is>
          <t>Cloud Small price (/yr)</t>
        </is>
      </c>
      <c r="C65" s="141" t="inlineStr">
        <is>
          <t>Assumptions!B5</t>
        </is>
      </c>
      <c r="D65" s="152">
        <f>'3. Assumptions'!B5</f>
        <v/>
      </c>
      <c r="E65" s="8" t="n"/>
      <c r="F65" s="8" t="n"/>
    </row>
    <row r="66">
      <c r="B66" s="55" t="inlineStr">
        <is>
          <t>Cloud Medium price (/yr)</t>
        </is>
      </c>
      <c r="C66" s="148" t="inlineStr">
        <is>
          <t>Assumptions!B6</t>
        </is>
      </c>
      <c r="D66" s="152">
        <f>'3. Assumptions'!B6</f>
        <v/>
      </c>
      <c r="E66" s="9" t="n"/>
      <c r="F66" s="9" t="n"/>
    </row>
    <row r="67">
      <c r="B67" s="55" t="inlineStr">
        <is>
          <t>Cloud Large price (/yr)</t>
        </is>
      </c>
      <c r="C67" s="148" t="inlineStr">
        <is>
          <t>Assumptions!B7</t>
        </is>
      </c>
      <c r="D67" s="152">
        <f>'3. Assumptions'!B7</f>
        <v/>
      </c>
      <c r="E67" s="9" t="n"/>
      <c r="F67" s="9" t="n"/>
    </row>
    <row r="68">
      <c r="B68" s="55" t="inlineStr">
        <is>
          <t>Cloud Enterprise price (/yr)</t>
        </is>
      </c>
      <c r="C68" s="148" t="inlineStr">
        <is>
          <t>Assumptions!B8</t>
        </is>
      </c>
      <c r="D68" s="152">
        <f>'3. Assumptions'!B8</f>
        <v/>
      </c>
      <c r="E68" s="9" t="n"/>
      <c r="F68" s="9" t="n"/>
    </row>
    <row r="69">
      <c r="B69" s="55" t="inlineStr">
        <is>
          <t>Partner Margin %</t>
        </is>
      </c>
      <c r="C69" s="141" t="inlineStr">
        <is>
          <t>Assumptions!B21</t>
        </is>
      </c>
      <c r="D69" s="153">
        <f>'3. Assumptions'!B21</f>
        <v/>
      </c>
      <c r="E69" s="8" t="n"/>
      <c r="F69" s="8" t="n"/>
    </row>
    <row r="70">
      <c r="B70" s="55" t="inlineStr">
        <is>
          <t>S - Y1 sites</t>
        </is>
      </c>
      <c r="C70" s="55" t="inlineStr">
        <is>
          <t>Assumptions!B28</t>
        </is>
      </c>
      <c r="D70" s="154">
        <f>'3. Assumptions'!B28</f>
        <v/>
      </c>
    </row>
    <row r="71" ht="17.6" customHeight="1" s="277">
      <c r="B71" s="138" t="inlineStr">
        <is>
          <t>S - multiplier</t>
        </is>
      </c>
      <c r="C71" s="138" t="inlineStr">
        <is>
          <t>Assumptions!B31</t>
        </is>
      </c>
      <c r="D71" s="155">
        <f>'3. Assumptions'!B31</f>
        <v/>
      </c>
      <c r="E71" s="4" t="n"/>
      <c r="F71" s="4" t="n"/>
      <c r="G71" s="4" t="n"/>
    </row>
    <row r="72">
      <c r="B72" s="55" t="inlineStr">
        <is>
          <t>M - Y1 sites</t>
        </is>
      </c>
      <c r="C72" s="55" t="inlineStr">
        <is>
          <t>Assumptions!B29</t>
        </is>
      </c>
      <c r="D72" s="154">
        <f>'3. Assumptions'!B29</f>
        <v/>
      </c>
    </row>
    <row r="73">
      <c r="B73" s="55" t="inlineStr">
        <is>
          <t>M - multiplier</t>
        </is>
      </c>
      <c r="C73" s="55" t="inlineStr">
        <is>
          <t>Assumptions!B32</t>
        </is>
      </c>
      <c r="D73" s="156">
        <f>'3. Assumptions'!B32</f>
        <v/>
      </c>
    </row>
    <row r="74">
      <c r="B74" s="55" t="inlineStr">
        <is>
          <t>L - Y1 sites</t>
        </is>
      </c>
      <c r="C74" s="55" t="inlineStr">
        <is>
          <t>Assumptions!B30</t>
        </is>
      </c>
      <c r="D74" s="154">
        <f>'3. Assumptions'!B30</f>
        <v/>
      </c>
    </row>
    <row r="75">
      <c r="B75" s="55" t="inlineStr">
        <is>
          <t>L - multiplier</t>
        </is>
      </c>
      <c r="C75" s="55" t="inlineStr">
        <is>
          <t>Assumptions!B33</t>
        </is>
      </c>
      <c r="D75" s="156">
        <f>'3. Assumptions'!B33</f>
        <v/>
      </c>
    </row>
    <row r="76">
      <c r="B76" s="55" t="inlineStr">
        <is>
          <t>Annual churn rate</t>
        </is>
      </c>
      <c r="C76" s="55" t="inlineStr">
        <is>
          <t>Assumptions!B35</t>
        </is>
      </c>
      <c r="D76" s="153" t="n">
        <v>0.05</v>
      </c>
    </row>
    <row r="77">
      <c r="B77" s="55" t="inlineStr">
        <is>
          <t>Y0 existing sites</t>
        </is>
      </c>
      <c r="C77" s="55" t="inlineStr">
        <is>
          <t>Assumptions!B40</t>
        </is>
      </c>
      <c r="D77" s="154">
        <f>'3. Assumptions'!B40</f>
        <v/>
      </c>
    </row>
    <row r="78">
      <c r="B78" s="55" t="inlineStr">
        <is>
          <t>Y0 ARR</t>
        </is>
      </c>
      <c r="C78" s="55" t="inlineStr">
        <is>
          <t>Assumptions!B41</t>
        </is>
      </c>
      <c r="D78" s="152" t="n">
        <v>139000</v>
      </c>
    </row>
    <row r="80">
      <c r="B80" s="281" t="inlineStr">
        <is>
          <t>v54 — reconciled to FY26 actuals ($139k Y0); base=S standalone; LSC premium stripped until commitment; Dashboard site display repointed to Product Forecast (revenue engine).</t>
        </is>
      </c>
    </row>
    <row r="82">
      <c r="B82" s="123" t="n"/>
    </row>
  </sheetData>
  <mergeCells count="45">
    <mergeCell ref="B2:G2"/>
    <mergeCell ref="D56:G56"/>
    <mergeCell ref="C6:G6"/>
    <mergeCell ref="C24:G24"/>
    <mergeCell ref="D58:G58"/>
    <mergeCell ref="C15:G15"/>
    <mergeCell ref="B1:G1"/>
    <mergeCell ref="C5:G5"/>
    <mergeCell ref="C14:G14"/>
    <mergeCell ref="D55:G55"/>
    <mergeCell ref="D51:G51"/>
    <mergeCell ref="D42:G42"/>
    <mergeCell ref="B29:G29"/>
    <mergeCell ref="D54:G54"/>
    <mergeCell ref="C20:G20"/>
    <mergeCell ref="B28:G28"/>
    <mergeCell ref="D59:G59"/>
    <mergeCell ref="D50:G50"/>
    <mergeCell ref="D60:G60"/>
    <mergeCell ref="B30:G30"/>
    <mergeCell ref="C9:G9"/>
    <mergeCell ref="B33:G33"/>
    <mergeCell ref="B80:G80"/>
    <mergeCell ref="C21:G21"/>
    <mergeCell ref="C12:G12"/>
    <mergeCell ref="B63:G63"/>
    <mergeCell ref="B45:G45"/>
    <mergeCell ref="C11:G11"/>
    <mergeCell ref="D52:G52"/>
    <mergeCell ref="B4:G4"/>
    <mergeCell ref="D49:G49"/>
    <mergeCell ref="C23:G23"/>
    <mergeCell ref="D57:G57"/>
    <mergeCell ref="C8:G8"/>
    <mergeCell ref="C17:G17"/>
    <mergeCell ref="D41:G41"/>
    <mergeCell ref="D48:G48"/>
    <mergeCell ref="D61:G61"/>
    <mergeCell ref="D53:G53"/>
    <mergeCell ref="B31:G31"/>
    <mergeCell ref="D47:G47"/>
    <mergeCell ref="B27:G27"/>
    <mergeCell ref="D43:G43"/>
    <mergeCell ref="C18:G18"/>
    <mergeCell ref="B39:G39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zoomScaleNormal="100" workbookViewId="0">
      <selection activeCell="B17" sqref="B17"/>
    </sheetView>
  </sheetViews>
  <sheetFormatPr baseColWidth="8" defaultColWidth="8.69140625" defaultRowHeight="14.6"/>
  <cols>
    <col width="30" customWidth="1" style="277" min="1" max="1"/>
    <col width="32" customWidth="1" style="277" min="2" max="2"/>
    <col width="14" customWidth="1" style="277" min="3" max="3"/>
    <col width="13" customWidth="1" style="277" min="4" max="4"/>
    <col width="14" customWidth="1" style="277" min="5" max="5"/>
    <col width="16" customWidth="1" style="277" min="6" max="6"/>
    <col width="32" customWidth="1" style="277" min="7" max="7"/>
    <col width="20" customWidth="1" style="277" min="8" max="8"/>
  </cols>
  <sheetData>
    <row r="1" ht="19.5" customHeight="1" s="277">
      <c r="A1" s="13" t="inlineStr">
        <is>
          <t>ZEZAMII CLOUD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</row>
    <row r="2" ht="15" customHeight="1" s="277">
      <c r="A2" s="2" t="inlineStr">
        <is>
          <t>Executive Summary — 5-Year Model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 ht="15" customHeight="1" s="27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 ht="15" customHeight="1" s="277">
      <c r="A4" s="15" t="inlineStr">
        <is>
          <t>MODEL SETTINGS</t>
        </is>
      </c>
      <c r="B4" s="16" t="n"/>
      <c r="C4" s="16" t="n"/>
      <c r="D4" s="14" t="n"/>
      <c r="E4" s="14" t="n"/>
      <c r="F4" s="14" t="n"/>
      <c r="G4" s="14" t="n"/>
      <c r="H4" s="14" t="n"/>
      <c r="I4" s="14" t="n"/>
      <c r="J4" s="14" t="n"/>
    </row>
    <row r="5" ht="15" customHeight="1" s="277">
      <c r="A5" s="14" t="inlineStr">
        <is>
          <t>Growth Scenario</t>
        </is>
      </c>
      <c r="B5" s="186" t="inlineStr">
        <is>
          <t>S</t>
        </is>
      </c>
      <c r="C5" s="187" t="inlineStr">
        <is>
          <t>S = STANDALONE (base until LSC commits) | M/L add modest/full LSC (upside)</t>
        </is>
      </c>
      <c r="D5" s="187" t="inlineStr">
        <is>
          <t>M = Base</t>
        </is>
      </c>
      <c r="E5" s="187" t="inlineStr">
        <is>
          <t>L = Aggressive</t>
        </is>
      </c>
      <c r="F5" s="14" t="n"/>
      <c r="G5" s="14" t="n"/>
      <c r="H5" s="14" t="n"/>
      <c r="I5" s="14" t="n"/>
      <c r="J5" s="14" t="n"/>
    </row>
    <row r="6" ht="15" customHeight="1" s="277">
      <c r="A6" s="242" t="inlineStr">
        <is>
          <t>ACaaS Enabled</t>
        </is>
      </c>
      <c r="B6" s="243" t="inlineStr">
        <is>
          <t>Yes</t>
        </is>
      </c>
      <c r="C6" s="272" t="inlineStr">
        <is>
          <t>Yes = ACaaS path (panels + recurring). No = Alt path (digital locks + access integrations @ 65% of ACaaS revenue; panels zero).</t>
        </is>
      </c>
      <c r="D6" s="14" t="n"/>
      <c r="E6" s="14" t="n"/>
      <c r="F6" s="14" t="n"/>
      <c r="G6" s="14" t="n"/>
      <c r="H6" s="14" t="n"/>
      <c r="I6" s="14" t="n"/>
      <c r="J6" s="14" t="n"/>
    </row>
    <row r="7" ht="15" customHeight="1" s="277">
      <c r="A7" s="14" t="inlineStr">
        <is>
          <t>Team Model</t>
        </is>
      </c>
      <c r="B7" s="17" t="inlineStr">
        <is>
          <t>Product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</row>
    <row r="8" hidden="1" ht="15" customHeight="1" s="277">
      <c r="A8" s="14" t="inlineStr">
        <is>
          <t>LSC Investment Scenario</t>
        </is>
      </c>
      <c r="B8" s="48" t="inlineStr">
        <is>
          <t>A</t>
        </is>
      </c>
      <c r="C8" s="49" t="inlineStr">
        <is>
          <t>A=All Cash | B=Blended | C=Equity Heavy | D=Custom</t>
        </is>
      </c>
      <c r="D8" s="14" t="n"/>
      <c r="E8" s="14" t="n"/>
      <c r="F8" s="14" t="n"/>
      <c r="G8" s="14" t="n"/>
      <c r="H8" s="14" t="n"/>
      <c r="I8" s="14" t="n"/>
      <c r="J8" s="14" t="n"/>
    </row>
    <row r="9" ht="15" customHeight="1" s="277">
      <c r="A9" s="18" t="inlineStr">
        <is>
          <t>5-YEAR FINANCIAL SUMMARY</t>
        </is>
      </c>
      <c r="B9" s="19" t="n"/>
      <c r="C9" s="19" t="n"/>
      <c r="D9" s="19" t="n"/>
      <c r="E9" s="19" t="n"/>
      <c r="F9" s="19" t="n"/>
      <c r="G9" s="19" t="n"/>
      <c r="H9" s="14" t="n"/>
      <c r="I9" s="14" t="n"/>
      <c r="J9" s="14" t="n"/>
    </row>
    <row r="10" ht="15" customHeight="1" s="277">
      <c r="A10" s="20" t="inlineStr">
        <is>
          <t>Metric</t>
        </is>
      </c>
      <c r="B10" s="21" t="inlineStr">
        <is>
          <t>Year 1</t>
        </is>
      </c>
      <c r="C10" s="21" t="inlineStr">
        <is>
          <t>Year 2</t>
        </is>
      </c>
      <c r="D10" s="21" t="inlineStr">
        <is>
          <t>Year 3</t>
        </is>
      </c>
      <c r="E10" s="21" t="inlineStr">
        <is>
          <t>Year 4</t>
        </is>
      </c>
      <c r="F10" s="21" t="inlineStr">
        <is>
          <t>Year 5</t>
        </is>
      </c>
      <c r="G10" s="21" t="inlineStr">
        <is>
          <t>Total</t>
        </is>
      </c>
      <c r="H10" s="14" t="n"/>
      <c r="I10" s="14" t="n"/>
      <c r="J10" s="14" t="n"/>
    </row>
    <row r="11" ht="15" customHeight="1" s="277">
      <c r="A11" s="14" t="inlineStr">
        <is>
          <t>New Sites</t>
        </is>
      </c>
      <c r="B11" s="22">
        <f>IF($B$5="S",'4. Product Forecast'!C8,IF($B$5="M",'4. Product Forecast'!C40,'4. Product Forecast'!C72))</f>
        <v/>
      </c>
      <c r="C11" s="22">
        <f>IF($B$5="S",'4. Product Forecast'!D8,IF($B$5="M",'4. Product Forecast'!D40,'4. Product Forecast'!D72))</f>
        <v/>
      </c>
      <c r="D11" s="22">
        <f>IF($B$5="S",'4. Product Forecast'!E8,IF($B$5="M",'4. Product Forecast'!E40,'4. Product Forecast'!E72))</f>
        <v/>
      </c>
      <c r="E11" s="22">
        <f>IF($B$5="S",'4. Product Forecast'!F8,IF($B$5="M",'4. Product Forecast'!F40,'4. Product Forecast'!F72))</f>
        <v/>
      </c>
      <c r="F11" s="22">
        <f>IF($B$5="S",'4. Product Forecast'!G8,IF($B$5="M",'4. Product Forecast'!G40,'4. Product Forecast'!G72))</f>
        <v/>
      </c>
      <c r="G11" s="22">
        <f>SUM(B11:F11)</f>
        <v/>
      </c>
      <c r="H11" s="14" t="inlineStr">
        <is>
          <t>Repointed to Product Forecast active-site path (the engine that generates SaaS revenue)</t>
        </is>
      </c>
      <c r="I11" s="14" t="n"/>
      <c r="J11" s="14" t="n"/>
    </row>
    <row r="12" ht="15" customHeight="1" s="277">
      <c r="A12" s="14" t="inlineStr">
        <is>
          <t>Cumulative Sites</t>
        </is>
      </c>
      <c r="B12" s="22">
        <f>IF($B$5="S",'4. Product Forecast'!C7,IF($B$5="M",'4. Product Forecast'!C39,'4. Product Forecast'!C71))</f>
        <v/>
      </c>
      <c r="C12" s="22">
        <f>IF($B$5="S",'4. Product Forecast'!D7,IF($B$5="M",'4. Product Forecast'!D39,'4. Product Forecast'!D71))</f>
        <v/>
      </c>
      <c r="D12" s="22">
        <f>IF($B$5="S",'4. Product Forecast'!E7,IF($B$5="M",'4. Product Forecast'!E39,'4. Product Forecast'!E71))</f>
        <v/>
      </c>
      <c r="E12" s="22">
        <f>IF($B$5="S",'4. Product Forecast'!F7,IF($B$5="M",'4. Product Forecast'!F39,'4. Product Forecast'!F71))</f>
        <v/>
      </c>
      <c r="F12" s="22">
        <f>IF($B$5="S",'4. Product Forecast'!G7,IF($B$5="M",'4. Product Forecast'!G39,'4. Product Forecast'!G71))</f>
        <v/>
      </c>
      <c r="G12" s="22">
        <f>F12</f>
        <v/>
      </c>
      <c r="H12" s="14" t="n"/>
      <c r="I12" s="14" t="n"/>
      <c r="J12" s="14" t="n"/>
    </row>
    <row r="13" ht="15" customHeight="1" s="277">
      <c r="A13" s="14" t="n"/>
      <c r="B13" s="23" t="n"/>
      <c r="C13" s="23" t="n"/>
      <c r="D13" s="23" t="n"/>
      <c r="E13" s="23" t="n"/>
      <c r="F13" s="23" t="n"/>
      <c r="G13" s="23" t="n"/>
      <c r="H13" s="14" t="n"/>
      <c r="I13" s="14" t="n"/>
      <c r="J13" s="14" t="n"/>
    </row>
    <row r="14" ht="15" customHeight="1" s="277">
      <c r="A14" s="24" t="inlineStr">
        <is>
          <t>SAAS</t>
        </is>
      </c>
      <c r="B14" s="25" t="n"/>
      <c r="C14" s="25" t="n"/>
      <c r="D14" s="25" t="n"/>
      <c r="E14" s="25" t="n"/>
      <c r="F14" s="25" t="n"/>
      <c r="G14" s="25" t="n"/>
      <c r="H14" s="14" t="n"/>
      <c r="I14" s="14" t="n"/>
      <c r="J14" s="14" t="n"/>
    </row>
    <row r="15" ht="15" customHeight="1" s="277">
      <c r="A15" s="14" t="inlineStr">
        <is>
          <t>SaaS Revenue</t>
        </is>
      </c>
      <c r="B15" s="23">
        <f>'5. P&amp;L'!C7</f>
        <v/>
      </c>
      <c r="C15" s="23">
        <f>'5. P&amp;L'!D7</f>
        <v/>
      </c>
      <c r="D15" s="23">
        <f>'5. P&amp;L'!E7</f>
        <v/>
      </c>
      <c r="E15" s="23">
        <f>'5. P&amp;L'!F7</f>
        <v/>
      </c>
      <c r="F15" s="23">
        <f>'5. P&amp;L'!G7</f>
        <v/>
      </c>
      <c r="G15" s="23">
        <f>SUM(B15:F15)</f>
        <v/>
      </c>
      <c r="H15" s="14" t="n"/>
      <c r="I15" s="14" t="n"/>
      <c r="J15" s="14" t="n"/>
    </row>
    <row r="16" ht="15" customHeight="1" s="277">
      <c r="A16" s="14" t="inlineStr">
        <is>
          <t>SaaS Costs</t>
        </is>
      </c>
      <c r="B16" s="23">
        <f>'5. P&amp;L'!C11</f>
        <v/>
      </c>
      <c r="C16" s="23">
        <f>'5. P&amp;L'!D11</f>
        <v/>
      </c>
      <c r="D16" s="23">
        <f>'5. P&amp;L'!E11</f>
        <v/>
      </c>
      <c r="E16" s="23">
        <f>'5. P&amp;L'!F11</f>
        <v/>
      </c>
      <c r="F16" s="23">
        <f>'5. P&amp;L'!G11</f>
        <v/>
      </c>
      <c r="G16" s="23">
        <f>SUM(B16:F16)</f>
        <v/>
      </c>
      <c r="H16" s="14" t="n"/>
      <c r="I16" s="14" t="n"/>
      <c r="J16" s="14" t="n"/>
    </row>
    <row r="17" ht="15" customHeight="1" s="277">
      <c r="A17" s="26" t="inlineStr">
        <is>
          <t>SaaS Gross Profit</t>
        </is>
      </c>
      <c r="B17" s="23">
        <f>'5. P&amp;L'!C13</f>
        <v/>
      </c>
      <c r="C17" s="23">
        <f>'5. P&amp;L'!D13</f>
        <v/>
      </c>
      <c r="D17" s="23">
        <f>'5. P&amp;L'!E13</f>
        <v/>
      </c>
      <c r="E17" s="23">
        <f>'5. P&amp;L'!F13</f>
        <v/>
      </c>
      <c r="F17" s="23">
        <f>'5. P&amp;L'!G13</f>
        <v/>
      </c>
      <c r="G17" s="23">
        <f>SUM(B17:F17)</f>
        <v/>
      </c>
      <c r="H17" s="14" t="n"/>
      <c r="I17" s="14" t="n"/>
      <c r="J17" s="14" t="n"/>
    </row>
    <row r="18" ht="15" customHeight="1" s="277">
      <c r="A18" s="26" t="inlineStr">
        <is>
          <t>SaaS Margin</t>
        </is>
      </c>
      <c r="B18" s="27">
        <f>'5. P&amp;L'!C14</f>
        <v/>
      </c>
      <c r="C18" s="27">
        <f>'5. P&amp;L'!D14</f>
        <v/>
      </c>
      <c r="D18" s="27">
        <f>'5. P&amp;L'!E14</f>
        <v/>
      </c>
      <c r="E18" s="27">
        <f>'5. P&amp;L'!F14</f>
        <v/>
      </c>
      <c r="F18" s="27">
        <f>'5. P&amp;L'!G14</f>
        <v/>
      </c>
      <c r="G18" s="27">
        <f>IF(G15&gt;0,G17/G15,0)</f>
        <v/>
      </c>
      <c r="H18" s="14" t="n"/>
      <c r="I18" s="14" t="n"/>
      <c r="J18" s="14" t="n"/>
    </row>
    <row r="19" ht="15" customHeight="1" s="277">
      <c r="A19" s="14" t="n"/>
      <c r="B19" s="22" t="n"/>
      <c r="C19" s="22" t="n"/>
      <c r="D19" s="22" t="n"/>
      <c r="E19" s="22" t="n"/>
      <c r="F19" s="22" t="n"/>
      <c r="G19" s="22" t="n"/>
      <c r="H19" s="14" t="n"/>
      <c r="I19" s="14" t="n"/>
      <c r="J19" s="14" t="n"/>
    </row>
    <row r="20" ht="15" customHeight="1" s="277">
      <c r="A20" s="28" t="inlineStr">
        <is>
          <t>HARDWARE</t>
        </is>
      </c>
      <c r="B20" s="29" t="n"/>
      <c r="C20" s="29" t="n"/>
      <c r="D20" s="29" t="n"/>
      <c r="E20" s="29" t="n"/>
      <c r="F20" s="29" t="n"/>
      <c r="G20" s="29" t="n"/>
      <c r="H20" s="14" t="n"/>
      <c r="I20" s="14" t="n"/>
      <c r="J20" s="14" t="n"/>
    </row>
    <row r="21" ht="15" customHeight="1" s="277">
      <c r="A21" s="14" t="inlineStr">
        <is>
          <t>Hardware Revenue</t>
        </is>
      </c>
      <c r="B21" s="23">
        <f>'5. P&amp;L'!C17</f>
        <v/>
      </c>
      <c r="C21" s="23">
        <f>'5. P&amp;L'!D17</f>
        <v/>
      </c>
      <c r="D21" s="23">
        <f>'5. P&amp;L'!E17</f>
        <v/>
      </c>
      <c r="E21" s="23">
        <f>'5. P&amp;L'!F17</f>
        <v/>
      </c>
      <c r="F21" s="23">
        <f>'5. P&amp;L'!G17</f>
        <v/>
      </c>
      <c r="G21" s="23">
        <f>SUM(B21:F21)</f>
        <v/>
      </c>
      <c r="H21" s="14" t="n"/>
      <c r="I21" s="14" t="n"/>
      <c r="J21" s="14" t="n"/>
    </row>
    <row r="22" ht="15" customHeight="1" s="277">
      <c r="A22" s="14" t="inlineStr">
        <is>
          <t>Hardware COGS</t>
        </is>
      </c>
      <c r="B22" s="23">
        <f>'5. P&amp;L'!C21</f>
        <v/>
      </c>
      <c r="C22" s="23">
        <f>'5. P&amp;L'!D21</f>
        <v/>
      </c>
      <c r="D22" s="23">
        <f>'5. P&amp;L'!E21</f>
        <v/>
      </c>
      <c r="E22" s="23">
        <f>'5. P&amp;L'!F21</f>
        <v/>
      </c>
      <c r="F22" s="23">
        <f>'5. P&amp;L'!G21</f>
        <v/>
      </c>
      <c r="G22" s="23">
        <f>SUM(B22:F22)</f>
        <v/>
      </c>
      <c r="H22" s="14" t="n"/>
      <c r="I22" s="14" t="n"/>
      <c r="J22" s="14" t="n"/>
    </row>
    <row r="23" ht="15" customHeight="1" s="277">
      <c r="A23" s="30" t="inlineStr">
        <is>
          <t>Hardware Gross Profit</t>
        </is>
      </c>
      <c r="B23" s="23">
        <f>'5. P&amp;L'!C23</f>
        <v/>
      </c>
      <c r="C23" s="23">
        <f>'5. P&amp;L'!D23</f>
        <v/>
      </c>
      <c r="D23" s="23">
        <f>'5. P&amp;L'!E23</f>
        <v/>
      </c>
      <c r="E23" s="23">
        <f>'5. P&amp;L'!F23</f>
        <v/>
      </c>
      <c r="F23" s="23">
        <f>'5. P&amp;L'!G23</f>
        <v/>
      </c>
      <c r="G23" s="23">
        <f>SUM(B23:F23)</f>
        <v/>
      </c>
      <c r="H23" s="14" t="n"/>
      <c r="I23" s="14" t="n"/>
      <c r="J23" s="14" t="n"/>
    </row>
    <row r="24" ht="15" customHeight="1" s="277">
      <c r="A24" s="30" t="inlineStr">
        <is>
          <t>Hardware Margin</t>
        </is>
      </c>
      <c r="B24" s="27">
        <f>'5. P&amp;L'!C24</f>
        <v/>
      </c>
      <c r="C24" s="27">
        <f>'5. P&amp;L'!D24</f>
        <v/>
      </c>
      <c r="D24" s="27">
        <f>'5. P&amp;L'!E24</f>
        <v/>
      </c>
      <c r="E24" s="27">
        <f>'5. P&amp;L'!F24</f>
        <v/>
      </c>
      <c r="F24" s="27">
        <f>'5. P&amp;L'!G24</f>
        <v/>
      </c>
      <c r="G24" s="27">
        <f>IF(G21&gt;0,G23/G21,0)</f>
        <v/>
      </c>
      <c r="H24" s="14" t="n"/>
      <c r="I24" s="14" t="n"/>
      <c r="J24" s="14" t="n"/>
    </row>
    <row r="25" ht="15" customHeight="1" s="277">
      <c r="A25" s="14" t="inlineStr">
        <is>
          <t>Founder Seed / Operating Cash (NOT LSC investment)</t>
        </is>
      </c>
      <c r="B25" s="248">
        <f>'6. Cash Flow'!C7</f>
        <v/>
      </c>
      <c r="C25" s="249" t="inlineStr">
        <is>
          <t>← Cash Flow opening cash; LSC equity investment shown only when LSC sheets unhidden</t>
        </is>
      </c>
      <c r="D25" s="14" t="n"/>
      <c r="E25" s="14" t="n"/>
      <c r="F25" s="14" t="n"/>
      <c r="G25" s="14" t="n"/>
      <c r="H25" s="14" t="n"/>
      <c r="I25" s="14" t="n"/>
      <c r="J25" s="14" t="n"/>
    </row>
    <row r="26" ht="15" customHeight="1" s="277">
      <c r="A26" s="31" t="inlineStr">
        <is>
          <t>COMBINED</t>
        </is>
      </c>
      <c r="B26" s="32">
        <f>G22</f>
        <v/>
      </c>
      <c r="C26" s="33" t="n"/>
      <c r="D26" s="33" t="n"/>
      <c r="E26" s="33" t="n"/>
      <c r="F26" s="33" t="n"/>
      <c r="G26" s="33" t="n"/>
      <c r="H26" s="14" t="n"/>
      <c r="I26" s="14" t="n"/>
      <c r="J26" s="14" t="n"/>
    </row>
    <row r="27" ht="17.25" customHeight="1" s="277">
      <c r="A27" s="5" t="inlineStr">
        <is>
          <t>Total Revenue</t>
        </is>
      </c>
      <c r="B27" s="34">
        <f>'5. P&amp;L'!C27</f>
        <v/>
      </c>
      <c r="C27" s="23">
        <f>'5. P&amp;L'!D27</f>
        <v/>
      </c>
      <c r="D27" s="23">
        <f>'5. P&amp;L'!E27</f>
        <v/>
      </c>
      <c r="E27" s="23">
        <f>'5. P&amp;L'!F27</f>
        <v/>
      </c>
      <c r="F27" s="23">
        <f>'5. P&amp;L'!G27</f>
        <v/>
      </c>
      <c r="G27" s="23">
        <f>SUM(B27:F27)</f>
        <v/>
      </c>
      <c r="H27" s="14" t="n"/>
      <c r="I27" s="14" t="n"/>
      <c r="J27" s="14" t="n"/>
    </row>
    <row r="28" ht="15" customHeight="1" s="277">
      <c r="A28" s="14" t="inlineStr">
        <is>
          <t>Total Costs</t>
        </is>
      </c>
      <c r="B28" s="23">
        <f>'5. P&amp;L'!C28</f>
        <v/>
      </c>
      <c r="C28" s="23">
        <f>'5. P&amp;L'!D28</f>
        <v/>
      </c>
      <c r="D28" s="23">
        <f>'5. P&amp;L'!E28</f>
        <v/>
      </c>
      <c r="E28" s="23">
        <f>'5. P&amp;L'!F28</f>
        <v/>
      </c>
      <c r="F28" s="23">
        <f>'5. P&amp;L'!G28</f>
        <v/>
      </c>
      <c r="G28" s="23">
        <f>SUM(B28:F28)</f>
        <v/>
      </c>
      <c r="H28" s="14" t="n"/>
      <c r="I28" s="14" t="n"/>
      <c r="J28" s="14" t="n"/>
    </row>
    <row r="29" ht="15" customHeight="1" s="277">
      <c r="A29" s="5" t="inlineStr">
        <is>
          <t>Total Gross Profit</t>
        </is>
      </c>
      <c r="B29" s="23">
        <f>'5. P&amp;L'!C30</f>
        <v/>
      </c>
      <c r="C29" s="23">
        <f>'5. P&amp;L'!D30</f>
        <v/>
      </c>
      <c r="D29" s="23">
        <f>'5. P&amp;L'!E30</f>
        <v/>
      </c>
      <c r="E29" s="23">
        <f>'5. P&amp;L'!F30</f>
        <v/>
      </c>
      <c r="F29" s="23">
        <f>'5. P&amp;L'!G30</f>
        <v/>
      </c>
      <c r="G29" s="23">
        <f>SUM(B29:F29)</f>
        <v/>
      </c>
      <c r="H29" s="14" t="n"/>
      <c r="I29" s="14" t="n"/>
      <c r="J29" s="14" t="n"/>
    </row>
    <row r="30" ht="15" customHeight="1" s="277">
      <c r="A30" s="5" t="inlineStr">
        <is>
          <t>Blended Margin</t>
        </is>
      </c>
      <c r="B30" s="27">
        <f>'5. P&amp;L'!C31</f>
        <v/>
      </c>
      <c r="C30" s="27">
        <f>'5. P&amp;L'!D31</f>
        <v/>
      </c>
      <c r="D30" s="27">
        <f>'5. P&amp;L'!E31</f>
        <v/>
      </c>
      <c r="E30" s="27">
        <f>'5. P&amp;L'!F31</f>
        <v/>
      </c>
      <c r="F30" s="27">
        <f>'5. P&amp;L'!G31</f>
        <v/>
      </c>
      <c r="G30" s="27">
        <f>IF(G27&gt;0,G29/G27,0)</f>
        <v/>
      </c>
      <c r="H30" s="14" t="n"/>
      <c r="I30" s="14" t="n"/>
      <c r="J30" s="14" t="n"/>
    </row>
    <row r="32" ht="15.45" customHeight="1" s="277">
      <c r="B32" s="161" t="inlineStr">
        <is>
          <t>REVENUE MIX (Y5 — selected scenario)</t>
        </is>
      </c>
    </row>
    <row r="33">
      <c r="B33" s="160" t="inlineStr">
        <is>
          <t>Three-way breakout shows what gets premium SaaS multiples vs hardware multiples.</t>
        </is>
      </c>
    </row>
    <row r="35">
      <c r="B35" s="162" t="inlineStr">
        <is>
          <t>Line</t>
        </is>
      </c>
      <c r="C35" s="163" t="inlineStr">
        <is>
          <t>Y5 ($)</t>
        </is>
      </c>
      <c r="D35" s="163" t="inlineStr">
        <is>
          <t>% of Total</t>
        </is>
      </c>
      <c r="E35" s="163" t="inlineStr">
        <is>
          <t>Multiple (Base)</t>
        </is>
      </c>
      <c r="F35" s="163" t="inlineStr">
        <is>
          <t>Y5 Exit Value</t>
        </is>
      </c>
    </row>
    <row r="36">
      <c r="B36" s="164" t="inlineStr">
        <is>
          <t>Standard Cloud SaaS</t>
        </is>
      </c>
      <c r="C36" s="165">
        <f>'5. P&amp;L'!G8</f>
        <v/>
      </c>
      <c r="D36" s="166">
        <f>C36/$C$39</f>
        <v/>
      </c>
      <c r="E36" s="167" t="n">
        <v>10</v>
      </c>
      <c r="F36" s="168">
        <f>C36*E36</f>
        <v/>
      </c>
    </row>
    <row r="37">
      <c r="B37" s="164" t="inlineStr">
        <is>
          <t>ACaaS (panel-attached)</t>
        </is>
      </c>
      <c r="C37" s="165">
        <f>'5. P&amp;L'!G9</f>
        <v/>
      </c>
      <c r="D37" s="166">
        <f>C37/$C$39</f>
        <v/>
      </c>
      <c r="E37" s="167" t="n">
        <v>6</v>
      </c>
      <c r="F37" s="168">
        <f>C37*E37</f>
        <v/>
      </c>
    </row>
    <row r="38">
      <c r="B38" s="164" t="inlineStr">
        <is>
          <t>Hardware (locks + panels)</t>
        </is>
      </c>
      <c r="C38" s="165">
        <f>'5. P&amp;L'!G17</f>
        <v/>
      </c>
      <c r="D38" s="166">
        <f>C38/$C$39</f>
        <v/>
      </c>
      <c r="E38" s="167" t="n">
        <v>1.5</v>
      </c>
      <c r="F38" s="168">
        <f>C38*E38</f>
        <v/>
      </c>
    </row>
    <row r="39">
      <c r="B39" s="169" t="inlineStr">
        <is>
          <t>Total Y5 Revenue</t>
        </is>
      </c>
      <c r="C39" s="170">
        <f>SUM(C36:C38)</f>
        <v/>
      </c>
      <c r="D39" s="171">
        <f>SUM(D36:D38)</f>
        <v/>
      </c>
      <c r="E39" s="172" t="n"/>
      <c r="F39" s="173">
        <f>SUM(F36:F38)</f>
        <v/>
      </c>
    </row>
    <row r="41">
      <c r="B41" s="174" t="inlineStr">
        <is>
          <t>Notes:</t>
        </is>
      </c>
    </row>
    <row r="42">
      <c r="B42" s="160" t="inlineStr">
        <is>
          <t xml:space="preserve">  • Standard SaaS = pure software (Cloud Base, Access, Rooms, Lockers, Integrate, Booking) — premium 8-12x ARR multiple</t>
        </is>
      </c>
    </row>
    <row r="43">
      <c r="B43" s="160" t="inlineStr">
        <is>
          <t xml:space="preserve">  • ACaaS = panel-attached recurring (Hardware-driven SaaS) — 5-7x ARR (Brivo/Openpath precedent)</t>
        </is>
      </c>
    </row>
    <row r="44">
      <c r="B44" s="160" t="inlineStr">
        <is>
          <t xml:space="preserve">  • Hardware = locks + panels gross — commodity 1-2x revenue, separate margin</t>
        </is>
      </c>
    </row>
  </sheetData>
  <dataValidations count="3">
    <dataValidation sqref="B7" showDropDown="0" showInputMessage="0" showErrorMessage="0" allowBlank="0" errorTitle="Invalid Selection" error="Please select a team model" type="list">
      <formula1>"Product,Zezamii,Zezamii LSC"</formula1>
      <formula2>0</formula2>
    </dataValidation>
    <dataValidation sqref="B5" showDropDown="0" showInputMessage="0" showErrorMessage="0" allowBlank="0" type="list">
      <formula1>"S,M,L"</formula1>
    </dataValidation>
    <dataValidation sqref="B6" showDropDown="0" showInputMessage="0" showErrorMessage="0" allowBlank="0" type="list">
      <formula1>"Yes,No"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8"/>
  <sheetViews>
    <sheetView zoomScaleNormal="100" workbookViewId="0">
      <selection activeCell="D10" sqref="D10"/>
    </sheetView>
  </sheetViews>
  <sheetFormatPr baseColWidth="8" defaultColWidth="8.69140625" defaultRowHeight="14.6"/>
  <cols>
    <col width="30" customWidth="1" style="277" min="1" max="1"/>
    <col width="15" customWidth="1" style="277" min="2" max="3"/>
    <col width="40" customWidth="1" style="277" min="4" max="4"/>
  </cols>
  <sheetData>
    <row r="1" ht="17.25" customHeight="1" s="277">
      <c r="A1" s="35" t="inlineStr">
        <is>
          <t>ASSUMPTIONS — Zezamii Cloud</t>
        </is>
      </c>
    </row>
    <row r="2" ht="15" customHeight="1" s="277">
      <c r="A2" s="7" t="inlineStr">
        <is>
          <t>Yellow cells = editable inputs</t>
        </is>
      </c>
    </row>
    <row r="4" ht="15" customHeight="1" s="277">
      <c r="A4" s="5" t="inlineStr">
        <is>
          <t>CLOUD PLATFORM PRICING (Annual)</t>
        </is>
      </c>
    </row>
    <row r="5" ht="15" customHeight="1" s="277">
      <c r="A5" t="inlineStr">
        <is>
          <t>Small</t>
        </is>
      </c>
      <c r="B5" s="36" t="n">
        <v>750</v>
      </c>
    </row>
    <row r="6" ht="15" customHeight="1" s="277">
      <c r="A6" t="inlineStr">
        <is>
          <t>Medium</t>
        </is>
      </c>
      <c r="B6" s="36" t="n">
        <v>1100</v>
      </c>
    </row>
    <row r="7" ht="15" customHeight="1" s="277">
      <c r="A7" t="inlineStr">
        <is>
          <t>Large</t>
        </is>
      </c>
      <c r="B7" s="36" t="n">
        <v>1650</v>
      </c>
    </row>
    <row r="8" ht="15" customHeight="1" s="277">
      <c r="A8" t="inlineStr">
        <is>
          <t>Enterprise</t>
        </is>
      </c>
      <c r="B8" s="36" t="n">
        <v>3500</v>
      </c>
    </row>
    <row r="10" ht="15" customHeight="1" s="277">
      <c r="A10" s="5" t="inlineStr">
        <is>
          <t>MODULE PRICING</t>
        </is>
      </c>
    </row>
    <row r="11" ht="15" customHeight="1" s="277">
      <c r="A11" t="inlineStr">
        <is>
          <t>Credential Pack (50-pack/year)</t>
        </is>
      </c>
      <c r="B11" s="36" t="n">
        <v>100</v>
      </c>
      <c r="C11" t="inlineStr">
        <is>
          <t>First 10 included in Cloud tier</t>
        </is>
      </c>
    </row>
    <row r="12" ht="15" customHeight="1" s="277">
      <c r="A12" t="inlineStr">
        <is>
          <t>Rooms (per room/month)</t>
        </is>
      </c>
      <c r="B12" s="36" t="n">
        <v>8</v>
      </c>
    </row>
    <row r="13" ht="15" customHeight="1" s="277">
      <c r="A13" t="inlineStr">
        <is>
          <t>Lockers (per locker/month)</t>
        </is>
      </c>
      <c r="B13" s="36" t="n">
        <v>4</v>
      </c>
    </row>
    <row r="14" ht="15" customHeight="1" s="277">
      <c r="A14" t="inlineStr">
        <is>
          <t>Integrate (per integration/year)</t>
        </is>
      </c>
      <c r="B14" s="36" t="n">
        <v>2000</v>
      </c>
    </row>
    <row r="15" ht="15" customHeight="1" s="277">
      <c r="A15" t="inlineStr">
        <is>
          <t>Booking (% of transaction)</t>
        </is>
      </c>
      <c r="B15" s="135" t="n">
        <v>0.025</v>
      </c>
    </row>
    <row r="16">
      <c r="A16" t="inlineStr">
        <is>
          <t>Avg Booking Transaction Value ($)</t>
        </is>
      </c>
      <c r="B16" s="214" t="n">
        <v>40</v>
      </c>
      <c r="C16" s="215" t="inlineStr">
        <is>
          <t>Net to Zezamii per txn = this × take rate (B15) = $1.00</t>
        </is>
      </c>
    </row>
    <row r="17" ht="15" customHeight="1" s="277">
      <c r="A17" s="5" t="inlineStr">
        <is>
          <t>HARDWARE</t>
        </is>
      </c>
    </row>
    <row r="18" ht="15" customHeight="1" s="277">
      <c r="A18" t="inlineStr">
        <is>
          <t>Lock RETAIL price (Zezamii to customer)</t>
        </is>
      </c>
      <c r="B18" s="225" t="n">
        <v>420</v>
      </c>
      <c r="C18" s="226" t="inlineStr">
        <is>
          <t>Sticker price end customer pays</t>
        </is>
      </c>
    </row>
    <row r="19">
      <c r="A19" t="inlineStr">
        <is>
          <t>Locks per Booking Site</t>
        </is>
      </c>
      <c r="B19" s="218" t="n">
        <v>1</v>
      </c>
      <c r="C19" s="220" t="inlineStr">
        <is>
          <t>1 lock per booking sale (entry/access lock)</t>
        </is>
      </c>
    </row>
    <row r="20" ht="15" customHeight="1" s="277">
      <c r="A20" s="78" t="inlineStr">
        <is>
          <t>PARTNER MARGIN</t>
        </is>
      </c>
    </row>
    <row r="21" ht="15" customHeight="1" s="277">
      <c r="A21" t="inlineStr">
        <is>
          <t>Partner Margin (% off retail)</t>
        </is>
      </c>
      <c r="B21" s="124" t="n">
        <v>0.35</v>
      </c>
      <c r="C21" s="125" t="inlineStr">
        <is>
          <t>Was 5-tier (Plat/Gold/Silver/Bronze/Retail); simplified to single rate. Was 15% Silver default.</t>
        </is>
      </c>
    </row>
    <row r="22" ht="15" customHeight="1" s="277">
      <c r="A22" t="inlineStr">
        <is>
          <t>Zezamii Hardware Margin % (input)</t>
        </is>
      </c>
      <c r="B22" s="227" t="n">
        <v>0.25</v>
      </c>
      <c r="C22" s="226" t="inlineStr">
        <is>
          <t>What Zezamii keeps from retail. Definite — this is the negotiated Zezamii take.</t>
        </is>
      </c>
    </row>
    <row r="23" ht="15" customHeight="1" s="277">
      <c r="A23" t="inlineStr">
        <is>
          <t>LSC + Mfr Combined % (derived)</t>
        </is>
      </c>
      <c r="B23" s="228">
        <f>1-B22</f>
        <v/>
      </c>
      <c r="C23" s="226" t="inlineStr">
        <is>
          <t>What Zezamii pays LSC (LSC's revenue per lock incl. Mfr cost passed through)</t>
        </is>
      </c>
    </row>
    <row r="24" ht="15" customHeight="1" s="277">
      <c r="A24" t="inlineStr">
        <is>
          <t xml:space="preserve">   (Zezamii GM = B22, this row deprecated)</t>
        </is>
      </c>
      <c r="B24" s="228">
        <f>B22</f>
        <v/>
      </c>
      <c r="C24" s="224" t="n"/>
    </row>
    <row r="25" ht="15" customHeight="1" s="277">
      <c r="A25" t="inlineStr">
        <is>
          <t xml:space="preserve">   (Mfr landed cost — informational only, not used)</t>
        </is>
      </c>
      <c r="B25" s="229" t="n">
        <v>140</v>
      </c>
      <c r="C25" s="230" t="inlineStr">
        <is>
          <t>Informational reference only. Mfr/LSC split not modeled. Zezamii pays LSC at B26.</t>
        </is>
      </c>
    </row>
    <row r="26">
      <c r="A26" t="inlineStr">
        <is>
          <t>Lock — LSC sell-in price to Zezamii (= Zezamii COGS per lock)</t>
        </is>
      </c>
      <c r="B26" s="231">
        <f>B18*(1-B22)</f>
        <v/>
      </c>
      <c r="C26" s="230" t="inlineStr">
        <is>
          <t>Derived = Retail × (1 − Zezamii margin %). This IS the COGS that hits Zezamii's P&amp;L.</t>
        </is>
      </c>
    </row>
    <row r="27" ht="15" customHeight="1" s="277">
      <c r="A27" s="5" t="inlineStr">
        <is>
          <t xml:space="preserve">   (LSC margin implied — informational only)</t>
        </is>
      </c>
      <c r="B27" s="229">
        <f>B26-B25</f>
        <v/>
      </c>
      <c r="C27" s="230" t="inlineStr">
        <is>
          <t>Informational only. Drops out of model.</t>
        </is>
      </c>
    </row>
    <row r="28" ht="15" customHeight="1" s="277">
      <c r="A28" t="inlineStr">
        <is>
          <t>S (Conservative) - Year 1</t>
        </is>
      </c>
      <c r="B28" s="38" t="n">
        <v>28</v>
      </c>
      <c r="C28" t="inlineStr">
        <is>
          <t>Realistic v16 (Y1=62 to clear 250K w S attach rates)</t>
        </is>
      </c>
    </row>
    <row r="29" ht="15" customHeight="1" s="277">
      <c r="A29" t="inlineStr">
        <is>
          <t>M (Base Case) - Year 1</t>
        </is>
      </c>
      <c r="B29" s="38" t="n">
        <v>29</v>
      </c>
      <c r="C29" t="inlineStr">
        <is>
          <t>Realistic v12 (M pulled down)</t>
        </is>
      </c>
    </row>
    <row r="30" ht="15" customHeight="1" s="277">
      <c r="A30" t="inlineStr">
        <is>
          <t>L (Aggressive) - Year 1</t>
        </is>
      </c>
      <c r="B30" s="38" t="n">
        <v>61</v>
      </c>
      <c r="C30" t="inlineStr">
        <is>
          <t>Realistic v10 (target ~3120 active Y5)</t>
        </is>
      </c>
    </row>
    <row r="31" ht="15" customHeight="1" s="277">
      <c r="A31" t="inlineStr">
        <is>
          <t>S - Growth Multiplier (Year 2+)</t>
        </is>
      </c>
      <c r="B31" s="39" t="n">
        <v>1.6</v>
      </c>
      <c r="C31" t="inlineStr">
        <is>
          <t>Realistic (was 1.5)</t>
        </is>
      </c>
    </row>
    <row r="32" ht="15" customHeight="1" s="277">
      <c r="A32" s="5" t="inlineStr">
        <is>
          <t>M - Growth Multiplier (Year 2+)</t>
        </is>
      </c>
      <c r="B32" s="39" t="n">
        <v>1.85</v>
      </c>
      <c r="C32" t="inlineStr">
        <is>
          <t>Realistic v12</t>
        </is>
      </c>
    </row>
    <row r="33" ht="15" customHeight="1" s="277">
      <c r="A33" t="inlineStr">
        <is>
          <t>L - Growth Multiplier (Year 2+)</t>
        </is>
      </c>
      <c r="B33" s="39" t="n">
        <v>2</v>
      </c>
      <c r="C33" t="inlineStr">
        <is>
          <t>Realistic v10</t>
        </is>
      </c>
    </row>
    <row r="34" ht="15" customHeight="1" s="277">
      <c r="A34" s="5" t="inlineStr">
        <is>
          <t>OTHER ASSUMPTIONS</t>
        </is>
      </c>
      <c r="B34" s="37" t="n"/>
    </row>
    <row r="35" ht="15" customHeight="1" s="277">
      <c r="A35" s="5" t="inlineStr">
        <is>
          <t>Annual Churn Rate</t>
        </is>
      </c>
      <c r="B35" s="37" t="n">
        <v>0.05</v>
      </c>
    </row>
    <row r="36" ht="15" customHeight="1" s="277">
      <c r="A36" t="inlineStr">
        <is>
          <t>Salary Escalation (annual)</t>
        </is>
      </c>
      <c r="B36" s="37" t="n">
        <v>0.04</v>
      </c>
    </row>
    <row r="37" ht="15" customHeight="1" s="277">
      <c r="A37" s="5" t="inlineStr">
        <is>
          <t>Price Escalation (annual)</t>
        </is>
      </c>
      <c r="B37" s="37" t="n">
        <v>0.05</v>
      </c>
    </row>
    <row r="38" ht="15" customHeight="1" s="277">
      <c r="A38" t="inlineStr">
        <is>
          <t>Implied B2B Locks (link to B46)</t>
        </is>
      </c>
      <c r="B38" s="38">
        <f>B46</f>
        <v/>
      </c>
      <c r="C38" s="49" t="n"/>
    </row>
    <row r="39" ht="15" customHeight="1" s="277">
      <c r="A39" s="5" t="inlineStr">
        <is>
          <t>CURRENT STATE</t>
        </is>
      </c>
      <c r="B39" s="36" t="n"/>
    </row>
    <row r="40" ht="15" customHeight="1" s="277">
      <c r="A40" t="inlineStr">
        <is>
          <t>Existing Sites (Year 0)</t>
        </is>
      </c>
      <c r="B40" s="38" t="n">
        <v>30</v>
      </c>
    </row>
    <row r="41" ht="15" customHeight="1" s="277">
      <c r="A41" t="inlineStr">
        <is>
          <t>Existing ARR (Year 0)</t>
        </is>
      </c>
      <c r="B41" s="36" t="n">
        <v>139000</v>
      </c>
      <c r="C41" t="inlineStr">
        <is>
          <t>FY26 actual own-software recurring (Cloud+Rooms+Lockers+Vortex+Zezamii; excl $202k Verkada resale). Was $120k.</t>
        </is>
      </c>
    </row>
    <row r="42" ht="15" customHeight="1" s="277">
      <c r="A42" t="inlineStr">
        <is>
          <t>Convertible Sites Y0 (see B50)</t>
        </is>
      </c>
      <c r="B42">
        <f>B50</f>
        <v/>
      </c>
      <c r="C42" s="49" t="n"/>
    </row>
    <row r="43" ht="15" customHeight="1" s="277">
      <c r="A43" s="5" t="inlineStr">
        <is>
          <t>LSC INSTALLED BASE</t>
        </is>
      </c>
    </row>
    <row r="44" ht="15" customHeight="1" s="277">
      <c r="A44" s="5" t="inlineStr">
        <is>
          <t>Total LSC Locks Deployed</t>
        </is>
      </c>
      <c r="B44" s="38" t="n">
        <v>50000</v>
      </c>
    </row>
    <row r="45" ht="15" customHeight="1" s="277">
      <c r="A45" t="inlineStr">
        <is>
          <t>% B2B (Builders/SMB)</t>
        </is>
      </c>
      <c r="B45" s="37" t="n">
        <v>0.25</v>
      </c>
      <c r="C45" t="inlineStr">
        <is>
          <t>How much Zezamii accelerates LSC lock sales</t>
        </is>
      </c>
    </row>
    <row r="46" ht="15" customHeight="1" s="277">
      <c r="A46" t="inlineStr">
        <is>
          <t>Implied B2B Locks</t>
        </is>
      </c>
      <c r="B46" s="38">
        <f>B44*B45</f>
        <v/>
      </c>
    </row>
    <row r="47" ht="15" customHeight="1" s="277">
      <c r="A47" t="inlineStr">
        <is>
          <t>Avg Locks per Site</t>
        </is>
      </c>
      <c r="B47" s="38" t="n">
        <v>35</v>
      </c>
    </row>
    <row r="48" ht="15" customHeight="1" s="277">
      <c r="A48" t="inlineStr">
        <is>
          <t>Implied B2B Sites (LSC Base)</t>
        </is>
      </c>
      <c r="B48" s="6">
        <f>ROUND(B46/B47,0)</f>
        <v/>
      </c>
    </row>
    <row r="49" ht="15" customHeight="1" s="277">
      <c r="A49" s="5" t="inlineStr">
        <is>
          <t>Conversion Rate (Year 1-2)</t>
        </is>
      </c>
      <c r="B49" s="37" t="n">
        <v>0.2</v>
      </c>
    </row>
    <row r="50" ht="15" customHeight="1" s="277">
      <c r="A50" t="inlineStr">
        <is>
          <t>Convertible Sites</t>
        </is>
      </c>
      <c r="B50" s="38">
        <f>ROUND(B48*B49,0)</f>
        <v/>
      </c>
      <c r="C50" t="inlineStr">
        <is>
          <t>Year ACaaS becomes available</t>
        </is>
      </c>
    </row>
    <row r="51" ht="15" customHeight="1" s="277">
      <c r="A51" t="inlineStr">
        <is>
          <t>ACaaS ARR per Site</t>
        </is>
      </c>
      <c r="B51" s="36" t="n">
        <v>6250</v>
      </c>
    </row>
    <row r="52" ht="15" customHeight="1" s="277">
      <c r="A52" s="5" t="inlineStr">
        <is>
          <t>LSC ACCELERANT EFFECT</t>
        </is>
      </c>
      <c r="B52" s="37" t="n"/>
    </row>
    <row r="53" ht="15" customHeight="1" s="277">
      <c r="A53" t="inlineStr">
        <is>
          <t>Zezamii Lock Sales Uplift %</t>
        </is>
      </c>
      <c r="B53" s="37" t="n">
        <v>0.25</v>
      </c>
    </row>
    <row r="54" ht="15" customHeight="1" s="277">
      <c r="A54" t="inlineStr">
        <is>
          <t>Avg Lock Price (to LSC customer, = B18 retail)</t>
        </is>
      </c>
      <c r="B54" s="250">
        <f>'3. Assumptions'!B18</f>
        <v/>
      </c>
    </row>
    <row r="55" ht="15" customHeight="1" s="277">
      <c r="A55" t="inlineStr">
        <is>
          <t>LSC Margin on Lock</t>
        </is>
      </c>
      <c r="B55" s="37" t="n">
        <v>0.35</v>
      </c>
    </row>
    <row r="56" ht="15" customHeight="1" s="277">
      <c r="A56" s="77" t="inlineStr">
        <is>
          <t>(removed: duplicate of B64)</t>
        </is>
      </c>
      <c r="B56" s="37" t="n"/>
    </row>
    <row r="57" ht="15" customHeight="1" s="277">
      <c r="A57" s="5" t="inlineStr">
        <is>
          <t>ACaaS (INTEGRATED PANEL)</t>
        </is>
      </c>
      <c r="B57" s="37" t="n"/>
      <c r="C57" t="inlineStr">
        <is>
          <t>100% of target</t>
        </is>
      </c>
    </row>
    <row r="58" ht="15" customHeight="1" s="277">
      <c r="A58" t="inlineStr">
        <is>
          <t>Launch Year</t>
        </is>
      </c>
      <c r="B58" s="39" t="n">
        <v>2</v>
      </c>
    </row>
    <row r="59" ht="15" customHeight="1" s="277">
      <c r="A59" t="inlineStr">
        <is>
          <t>ACaaS ARR per Site</t>
        </is>
      </c>
      <c r="B59" s="36" t="n">
        <v>6250</v>
      </c>
    </row>
    <row r="60" ht="15" customHeight="1" s="277">
      <c r="A60" t="inlineStr">
        <is>
          <t>% New Sites Taking ACaaS (Y2+, scenario-aware → B92/C92/D92)</t>
        </is>
      </c>
      <c r="B60" s="37">
        <f>IF('2. Dashboard'!$B$5="S",$B$92,IF('2. Dashboard'!$B$5="M",$C$92,$D$92))</f>
        <v/>
      </c>
      <c r="C60" s="122" t="inlineStr">
        <is>
          <t>Now wired: S=10% / M=25% / L=40% via B92:D92</t>
        </is>
      </c>
    </row>
    <row r="61" ht="15" customHeight="1" s="277">
      <c r="A61" t="inlineStr">
        <is>
          <t>Panels per ACaaS Site</t>
        </is>
      </c>
      <c r="B61" s="39" t="n">
        <v>1.5</v>
      </c>
    </row>
    <row r="62" ht="15" customHeight="1" s="277">
      <c r="A62" t="inlineStr">
        <is>
          <t>Panel Price</t>
        </is>
      </c>
      <c r="B62" s="36" t="n">
        <v>2500</v>
      </c>
    </row>
    <row r="63" ht="15" customHeight="1" s="277">
      <c r="A63" t="inlineStr">
        <is>
          <t>LSC Panel Margin</t>
        </is>
      </c>
      <c r="B63" s="37" t="n">
        <v>0.35</v>
      </c>
    </row>
    <row r="64" ht="15" customHeight="1" s="277">
      <c r="A64" t="inlineStr">
        <is>
          <t>ACaaS Ramp (Year 2)</t>
        </is>
      </c>
      <c r="B64" s="37" t="n">
        <v>0.5</v>
      </c>
      <c r="C64" t="inlineStr">
        <is>
          <t>50% of target in launch year</t>
        </is>
      </c>
    </row>
    <row r="65" ht="15" customHeight="1" s="277">
      <c r="A65" t="inlineStr">
        <is>
          <t>ACaaS Ramp (Year 3+)</t>
        </is>
      </c>
      <c r="B65" s="37" t="n">
        <v>1</v>
      </c>
      <c r="C65" t="inlineStr">
        <is>
          <t>100% of target</t>
        </is>
      </c>
    </row>
    <row r="67" ht="15" customHeight="1" s="277">
      <c r="A67" s="5" t="inlineStr">
        <is>
          <t>COST SCALING (Min Opex % of Revenue)</t>
        </is>
      </c>
    </row>
    <row r="68" ht="15" customHeight="1" s="277">
      <c r="A68" t="inlineStr">
        <is>
          <t>Year 1 Min Opex %</t>
        </is>
      </c>
      <c r="B68" s="37" t="n">
        <v>0.45</v>
      </c>
      <c r="C68" t="inlineStr">
        <is>
          <t>Investment phase → 55% SaaS margin</t>
        </is>
      </c>
    </row>
    <row r="69" ht="15" customHeight="1" s="277">
      <c r="A69" t="inlineStr">
        <is>
          <t>Year 2 Min Opex %</t>
        </is>
      </c>
      <c r="B69" s="37" t="n">
        <v>0.38</v>
      </c>
      <c r="C69" t="inlineStr">
        <is>
          <t>Scaling up → 62% SaaS margin</t>
        </is>
      </c>
    </row>
    <row r="70" ht="15" customHeight="1" s="277">
      <c r="A70" t="inlineStr">
        <is>
          <t>Year 3 Min Opex %</t>
        </is>
      </c>
      <c r="B70" s="37" t="n">
        <v>0.32</v>
      </c>
      <c r="C70" t="inlineStr">
        <is>
          <t>Growth mode → 68% SaaS margin</t>
        </is>
      </c>
    </row>
    <row r="71" ht="15" customHeight="1" s="277">
      <c r="A71" t="inlineStr">
        <is>
          <t>Year 4 Min Opex %</t>
        </is>
      </c>
      <c r="B71" s="37" t="n">
        <v>0.28</v>
      </c>
      <c r="C71" t="inlineStr">
        <is>
          <t>Scale → 72% SaaS margin</t>
        </is>
      </c>
    </row>
    <row r="72" ht="15" customHeight="1" s="277">
      <c r="A72" t="inlineStr">
        <is>
          <t>Year 5 Min Opex %</t>
        </is>
      </c>
      <c r="B72" s="37" t="n">
        <v>0.25</v>
      </c>
      <c r="C72" t="inlineStr">
        <is>
          <t>Efficient → 75% SaaS margin</t>
        </is>
      </c>
    </row>
    <row r="74" ht="15" customHeight="1" s="277">
      <c r="A74" s="5" t="inlineStr">
        <is>
          <t>INVESTMENT BY TEAM MODEL</t>
        </is>
      </c>
    </row>
    <row r="75" ht="15" customHeight="1" s="277">
      <c r="A75" t="inlineStr">
        <is>
          <t>Product Investment</t>
        </is>
      </c>
      <c r="B75" s="40" t="n">
        <v>500000</v>
      </c>
    </row>
    <row r="76" ht="15" customHeight="1" s="277">
      <c r="A76" t="inlineStr">
        <is>
          <t>Zezamii Investment</t>
        </is>
      </c>
      <c r="B76" s="40" t="n">
        <v>750000</v>
      </c>
    </row>
    <row r="77" ht="15" customHeight="1" s="277">
      <c r="A77" t="inlineStr">
        <is>
          <t>Zezamii LSC Investment</t>
        </is>
      </c>
      <c r="B77" s="40" t="n">
        <v>1100000</v>
      </c>
    </row>
    <row r="79">
      <c r="A79" s="78" t="inlineStr">
        <is>
          <t>LSC CHANNEL MIX (% of SaaS revenue via LSC)</t>
        </is>
      </c>
    </row>
    <row r="80">
      <c r="A80" t="inlineStr">
        <is>
          <t>Year 1</t>
        </is>
      </c>
      <c r="B80" s="79" t="n">
        <v>0.7</v>
      </c>
      <c r="C80" s="77" t="inlineStr">
        <is>
          <t>Ramping LSC partnership penetration</t>
        </is>
      </c>
    </row>
    <row r="81">
      <c r="A81" t="inlineStr">
        <is>
          <t>Year 2</t>
        </is>
      </c>
      <c r="B81" s="79" t="n">
        <v>0.75</v>
      </c>
    </row>
    <row r="82">
      <c r="A82" t="inlineStr">
        <is>
          <t>Year 3</t>
        </is>
      </c>
      <c r="B82" s="79" t="n">
        <v>0.8</v>
      </c>
    </row>
    <row r="83">
      <c r="A83" t="inlineStr">
        <is>
          <t>Year 4</t>
        </is>
      </c>
      <c r="B83" s="79" t="n">
        <v>0.85</v>
      </c>
    </row>
    <row r="84">
      <c r="A84" t="inlineStr">
        <is>
          <t>Year 5</t>
        </is>
      </c>
      <c r="B84" s="79" t="n">
        <v>0.85</v>
      </c>
    </row>
    <row r="86">
      <c r="A86" s="126" t="inlineStr">
        <is>
          <t>(Module attach rates removed — Product Forecast drives units directly now)</t>
        </is>
      </c>
    </row>
    <row r="87">
      <c r="A87" s="118" t="n"/>
      <c r="B87" s="118" t="n"/>
      <c r="C87" s="118" t="n"/>
      <c r="D87" s="118" t="n"/>
      <c r="E87" s="118" t="n"/>
    </row>
    <row r="88">
      <c r="B88" s="119" t="n"/>
      <c r="C88" s="119" t="n"/>
      <c r="D88" s="119" t="n"/>
      <c r="E88" s="120" t="n"/>
    </row>
    <row r="89">
      <c r="B89" s="119" t="n"/>
      <c r="C89" s="119" t="n"/>
      <c r="D89" s="119" t="n"/>
      <c r="E89" s="120" t="n"/>
    </row>
    <row r="90">
      <c r="B90" s="119" t="n"/>
      <c r="C90" s="119" t="n"/>
      <c r="D90" s="119" t="n"/>
      <c r="E90" s="120" t="n"/>
    </row>
    <row r="91">
      <c r="A91" s="251" t="inlineStr">
        <is>
          <t>ACaaS Take-up % by Scenario (used by B60)</t>
        </is>
      </c>
      <c r="B91" s="252" t="inlineStr">
        <is>
          <t>S</t>
        </is>
      </c>
      <c r="C91" s="252" t="inlineStr">
        <is>
          <t>M</t>
        </is>
      </c>
      <c r="D91" s="252" t="inlineStr">
        <is>
          <t>L</t>
        </is>
      </c>
      <c r="E91" s="120" t="n"/>
    </row>
    <row r="92">
      <c r="B92" s="253" t="n">
        <v>0.1</v>
      </c>
      <c r="C92" s="253" t="n">
        <v>0.25</v>
      </c>
      <c r="D92" s="253" t="n">
        <v>0.4</v>
      </c>
      <c r="E92" s="249" t="inlineStr">
        <is>
          <t>← S/M/L take-up of new sites adopting ACaaS in launch year and onwards</t>
        </is>
      </c>
    </row>
    <row r="94">
      <c r="A94" t="inlineStr">
        <is>
          <t>Alt Channel Capture % (if ACaaS off — digital locks + integrations)</t>
        </is>
      </c>
      <c r="B94" s="273" t="n">
        <v>0.65</v>
      </c>
      <c r="C94" s="274" t="inlineStr">
        <is>
          <t>When ACaaS toggle (Dashboard B6) = No, this % of the ACaaS revenue line is retained via alternative channels (digital lock upsell + access control integrations). Panels (hardware) drop to zero in this path.</t>
        </is>
      </c>
    </row>
    <row r="95" ht="15.45" customHeight="1" s="277">
      <c r="A95" s="254" t="inlineStr">
        <is>
          <t>PIPELINE &amp; CAPACITY BRIDGE — explains M-scenario site adds vs LSC base</t>
        </is>
      </c>
    </row>
    <row r="96">
      <c r="A96" t="inlineStr">
        <is>
          <t>LSC convertible base (B2B installed)</t>
        </is>
      </c>
      <c r="B96" s="255">
        <f>B50</f>
        <v/>
      </c>
      <c r="C96" s="249" t="inlineStr">
        <is>
          <t>sites</t>
        </is>
      </c>
    </row>
    <row r="97">
      <c r="A97" t="inlineStr">
        <is>
          <t xml:space="preserve">  Conversion rate (Y1-Y2 target)</t>
        </is>
      </c>
      <c r="B97" s="256" t="n">
        <v>0.5</v>
      </c>
      <c r="C97" s="249" t="inlineStr">
        <is>
          <t>% of convertible base</t>
        </is>
      </c>
    </row>
    <row r="98">
      <c r="A98" t="inlineStr">
        <is>
          <t xml:space="preserve">  → LSC-channel addressable Y1-Y2</t>
        </is>
      </c>
      <c r="B98" s="257">
        <f>B96*B97</f>
        <v/>
      </c>
      <c r="C98" s="249" t="inlineStr">
        <is>
          <t>sites</t>
        </is>
      </c>
    </row>
    <row r="99">
      <c r="A99" t="inlineStr">
        <is>
          <t>Non-LSC channel (direct + builder partners)</t>
        </is>
      </c>
      <c r="B99" s="258" t="n">
        <v>50</v>
      </c>
      <c r="C99" s="249" t="inlineStr">
        <is>
          <t>sites — placeholder, confirm</t>
        </is>
      </c>
    </row>
    <row r="100">
      <c r="A100" t="inlineStr">
        <is>
          <t xml:space="preserve">  → Total addressable Y1-Y2</t>
        </is>
      </c>
      <c r="B100" s="257">
        <f>B98+B99</f>
        <v/>
      </c>
      <c r="C100" s="249" t="inlineStr">
        <is>
          <t>sites</t>
        </is>
      </c>
    </row>
    <row r="101">
      <c r="A101" t="inlineStr">
        <is>
          <t>M scenario Y1-Y2 new sites needed</t>
        </is>
      </c>
      <c r="B101" s="257">
        <f>SUM(Revenue!C5:D5)</f>
        <v/>
      </c>
      <c r="C101" s="249" t="inlineStr">
        <is>
          <t>from Revenue tab</t>
        </is>
      </c>
    </row>
    <row r="102">
      <c r="A102" t="inlineStr">
        <is>
          <t xml:space="preserve">  Capture rate vs total addressable</t>
        </is>
      </c>
      <c r="B102" s="259">
        <f>B101/B100</f>
        <v/>
      </c>
      <c r="C102" s="249" t="inlineStr">
        <is>
          <t>should be &lt;100%</t>
        </is>
      </c>
    </row>
    <row r="103">
      <c r="A103" t="inlineStr">
        <is>
          <t>Sales capacity (avg sales rep close rate)</t>
        </is>
      </c>
      <c r="B103" s="260" t="n">
        <v>4</v>
      </c>
      <c r="C103" s="249" t="inlineStr">
        <is>
          <t>sites/rep/month — placeholder</t>
        </is>
      </c>
    </row>
    <row r="104">
      <c r="A104" t="inlineStr">
        <is>
          <t xml:space="preserve">  → Sales capacity Y1-Y2 (1 rep × 24mo)</t>
        </is>
      </c>
      <c r="B104" s="257">
        <f>B103*24</f>
        <v/>
      </c>
      <c r="C104" s="249" t="inlineStr">
        <is>
          <t>sites</t>
        </is>
      </c>
    </row>
    <row r="105">
      <c r="A105" t="inlineStr">
        <is>
          <t>Realism check: capacity ≥ needed?</t>
        </is>
      </c>
      <c r="B105" s="261">
        <f>IF(B104&gt;=B101,"OK","GAP")</f>
        <v/>
      </c>
      <c r="C105" s="249" t="inlineStr">
        <is>
          <t>flag</t>
        </is>
      </c>
    </row>
    <row r="110" ht="15.45" customHeight="1" s="277">
      <c r="A110" s="266" t="inlineStr">
        <is>
          <t>DERIVED NET PRICES — after partner margin (auto, used by Product Forecast)</t>
        </is>
      </c>
    </row>
    <row r="111">
      <c r="A111" t="inlineStr">
        <is>
          <t>Cloud Base blended net (tier mix × (1-partner margin))</t>
        </is>
      </c>
      <c r="B111" s="267">
        <f>(0.4*B5+0.35*B6+0.2*B7+0.05*B8)*(1-B21)</f>
        <v/>
      </c>
      <c r="C111" s="268" t="inlineStr">
        <is>
          <t>40% Small + 35% Med + 20% Large + 5% Enterprise blend × 65%</t>
        </is>
      </c>
    </row>
    <row r="112">
      <c r="A112" t="inlineStr">
        <is>
          <t>Access net (per pack/yr)</t>
        </is>
      </c>
      <c r="B112" s="267">
        <f>B11*(1-B21)</f>
        <v/>
      </c>
      <c r="C112" s="268">
        <f>B11 * 65%</f>
        <v/>
      </c>
    </row>
    <row r="113">
      <c r="A113" t="inlineStr">
        <is>
          <t>Rooms net (per room/yr)</t>
        </is>
      </c>
      <c r="B113" s="267">
        <f>B12*12*(1-B21)</f>
        <v/>
      </c>
      <c r="C113" s="268" t="n"/>
    </row>
    <row r="114">
      <c r="A114" t="inlineStr">
        <is>
          <t>Lockers net (per locker/yr)</t>
        </is>
      </c>
      <c r="B114" s="267">
        <f>B13*12*(1-B21)</f>
        <v/>
      </c>
      <c r="C114" s="269" t="inlineStr">
        <is>
          <t>FLAG: Previously hardcoded as $23.40 (implied $3/mo, not B13=$4/mo). Refactor now uses B13 cleanly. If you want the old number, change B13 from $4 to $3.</t>
        </is>
      </c>
    </row>
    <row r="115">
      <c r="A115" t="inlineStr">
        <is>
          <t>Integrate net (per integration/yr)</t>
        </is>
      </c>
      <c r="B115" s="267">
        <f>B14*(1-B21)</f>
        <v/>
      </c>
      <c r="C115" s="268">
        <f>B14 * 65%</f>
        <v/>
      </c>
    </row>
    <row r="116">
      <c r="A116" t="inlineStr">
        <is>
          <t>ACaaS net (per site/yr)</t>
        </is>
      </c>
      <c r="B116" s="267">
        <f>B51*(1-B21)</f>
        <v/>
      </c>
      <c r="C116" s="268">
        <f>B51 * 65%</f>
        <v/>
      </c>
    </row>
    <row r="117">
      <c r="A117" t="inlineStr">
        <is>
          <t>Panel gross (per panel)</t>
        </is>
      </c>
      <c r="B117" s="270">
        <f>B62</f>
        <v/>
      </c>
      <c r="C117" s="268" t="n"/>
    </row>
    <row r="118">
      <c r="A118" t="inlineStr">
        <is>
          <t>Lock retail (= B18)</t>
        </is>
      </c>
      <c r="B118" s="270">
        <f>B18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09"/>
  <sheetViews>
    <sheetView showGridLines="0" tabSelected="1" workbookViewId="0">
      <selection activeCell="L9" sqref="L9"/>
    </sheetView>
  </sheetViews>
  <sheetFormatPr baseColWidth="8" defaultRowHeight="14.6"/>
  <cols>
    <col width="2" customWidth="1" style="277" min="1" max="1"/>
    <col width="32" customWidth="1" style="277" min="2" max="2"/>
    <col width="13" customWidth="1" style="277" min="3" max="8"/>
  </cols>
  <sheetData>
    <row r="2" ht="26.05" customHeight="1" s="277">
      <c r="B2" s="279" t="inlineStr">
        <is>
          <t>PRODUCT FORECAST</t>
        </is>
      </c>
    </row>
    <row r="3">
      <c r="B3" s="278" t="inlineStr">
        <is>
          <t>Type unit counts per product per year for each scenario. Revenue computed automatically. Yellow cells = editable.</t>
        </is>
      </c>
    </row>
    <row r="5">
      <c r="B5" s="127" t="inlineStr">
        <is>
          <t>S + PRODUCT (no LSC) -- Y1=62 sites | 1.6x growth | Y5 active sites=920</t>
        </is>
      </c>
      <c r="C5" s="127" t="n"/>
      <c r="D5" s="127" t="n"/>
      <c r="E5" s="127" t="n"/>
      <c r="F5" s="127" t="n"/>
      <c r="G5" s="127" t="n"/>
      <c r="H5" s="127" t="n"/>
    </row>
    <row r="6">
      <c r="C6" s="121" t="inlineStr">
        <is>
          <t>Y1</t>
        </is>
      </c>
      <c r="D6" s="121" t="inlineStr">
        <is>
          <t>Y2</t>
        </is>
      </c>
      <c r="E6" s="121" t="inlineStr">
        <is>
          <t>Y3</t>
        </is>
      </c>
      <c r="F6" s="121" t="inlineStr">
        <is>
          <t>Y4</t>
        </is>
      </c>
      <c r="G6" s="121" t="inlineStr">
        <is>
          <t>Y5</t>
        </is>
      </c>
      <c r="H6" s="121" t="inlineStr">
        <is>
          <t>5yr Cum</t>
        </is>
      </c>
    </row>
    <row r="7">
      <c r="B7" s="55" t="inlineStr">
        <is>
          <t>Active sites (from Revenue tab)</t>
        </is>
      </c>
      <c r="C7" s="128" t="n">
        <v>85</v>
      </c>
      <c r="D7" s="128" t="n">
        <v>178</v>
      </c>
      <c r="E7" s="128" t="n">
        <v>324</v>
      </c>
      <c r="F7" s="128" t="n">
        <v>554</v>
      </c>
      <c r="G7" s="128" t="n">
        <v>920</v>
      </c>
    </row>
    <row r="8">
      <c r="B8" s="55" t="inlineStr">
        <is>
          <t>New sites added (from Revenue tab)</t>
        </is>
      </c>
      <c r="C8" s="128" t="n">
        <v>62</v>
      </c>
      <c r="D8" s="128" t="n">
        <v>99</v>
      </c>
      <c r="E8" s="128" t="n">
        <v>158</v>
      </c>
      <c r="F8" s="128" t="n">
        <v>253</v>
      </c>
      <c r="G8" s="128" t="n">
        <v>405</v>
      </c>
      <c r="H8" s="128" t="n">
        <v>977</v>
      </c>
    </row>
    <row r="9">
      <c r="B9" s="245" t="inlineStr">
        <is>
          <t xml:space="preserve">  Y0 Baseline Retained ARR (churn 5% offset by 5% uplift)</t>
        </is>
      </c>
      <c r="C9" s="213">
        <f>Revenue!C19</f>
        <v/>
      </c>
      <c r="D9" s="213">
        <f>Revenue!D19</f>
        <v/>
      </c>
      <c r="E9" s="213">
        <f>Revenue!E19</f>
        <v/>
      </c>
      <c r="F9" s="213">
        <f>Revenue!F19</f>
        <v/>
      </c>
      <c r="G9" s="213">
        <f>Revenue!G19</f>
        <v/>
      </c>
    </row>
    <row r="10">
      <c r="B10" s="129" t="inlineStr">
        <is>
          <t>SaaS PRODUCTS  (units + revenue)</t>
        </is>
      </c>
      <c r="C10" s="129" t="n"/>
      <c r="D10" s="129" t="n"/>
      <c r="E10" s="129" t="n"/>
      <c r="F10" s="129" t="n"/>
      <c r="G10" s="129" t="n"/>
      <c r="H10" s="129" t="n"/>
    </row>
    <row r="11">
      <c r="B11" t="inlineStr">
        <is>
          <t xml:space="preserve">  Cloud Base (sites)</t>
        </is>
      </c>
      <c r="C11" s="130" t="n">
        <v>40</v>
      </c>
      <c r="D11" s="130" t="n">
        <v>82</v>
      </c>
      <c r="E11" s="130" t="n">
        <v>127</v>
      </c>
      <c r="F11" s="130" t="n">
        <v>217</v>
      </c>
      <c r="G11" s="130" t="n">
        <v>347</v>
      </c>
    </row>
    <row r="12" hidden="1" s="277">
      <c r="B12" s="126" t="inlineStr">
        <is>
          <t xml:space="preserve">    revenue ($, net)</t>
        </is>
      </c>
      <c r="C12" s="271">
        <f>C11*'3. Assumptions'!$B$111</f>
        <v/>
      </c>
      <c r="D12" s="271">
        <f>D11*'3. Assumptions'!$B$111</f>
        <v/>
      </c>
      <c r="E12" s="271">
        <f>E11*'3. Assumptions'!$B$111</f>
        <v/>
      </c>
      <c r="F12" s="271">
        <f>F11*'3. Assumptions'!$B$111</f>
        <v/>
      </c>
      <c r="G12" s="271">
        <f>G11*'3. Assumptions'!$B$111</f>
        <v/>
      </c>
      <c r="H12" s="110">
        <f>SUM(C12:G12)</f>
        <v/>
      </c>
    </row>
    <row r="13">
      <c r="B13" t="inlineStr">
        <is>
          <t xml:space="preserve">  Access (packs)</t>
        </is>
      </c>
      <c r="C13" s="130" t="n">
        <v>22</v>
      </c>
      <c r="D13" s="130" t="n">
        <v>81</v>
      </c>
      <c r="E13" s="130" t="n">
        <v>137</v>
      </c>
      <c r="F13" s="130" t="n">
        <v>309</v>
      </c>
      <c r="G13" s="130" t="n">
        <v>546</v>
      </c>
    </row>
    <row r="14" hidden="1" s="277">
      <c r="B14" s="126" t="inlineStr">
        <is>
          <t xml:space="preserve">    revenue ($, net)</t>
        </is>
      </c>
      <c r="C14" s="271">
        <f>C13*'3. Assumptions'!$B$112</f>
        <v/>
      </c>
      <c r="D14" s="271">
        <f>D13*'3. Assumptions'!$B$112</f>
        <v/>
      </c>
      <c r="E14" s="271">
        <f>E13*'3. Assumptions'!$B$112</f>
        <v/>
      </c>
      <c r="F14" s="271">
        <f>F13*'3. Assumptions'!$B$112</f>
        <v/>
      </c>
      <c r="G14" s="271">
        <f>G13*'3. Assumptions'!$B$112</f>
        <v/>
      </c>
      <c r="H14" s="110">
        <f>SUM(C14:G14)</f>
        <v/>
      </c>
    </row>
    <row r="15">
      <c r="B15" t="inlineStr">
        <is>
          <t xml:space="preserve">  Rooms (rooms)</t>
        </is>
      </c>
      <c r="C15" s="130" t="n">
        <v>980</v>
      </c>
      <c r="D15" s="130" t="n">
        <v>1760</v>
      </c>
      <c r="E15" s="130" t="n">
        <v>3010</v>
      </c>
      <c r="F15" s="130" t="n">
        <v>4550</v>
      </c>
      <c r="G15" s="130" t="n">
        <v>6120</v>
      </c>
    </row>
    <row r="16" hidden="1" s="277">
      <c r="B16" s="126" t="inlineStr">
        <is>
          <t xml:space="preserve">    revenue ($, net)</t>
        </is>
      </c>
      <c r="C16" s="271">
        <f>C15*'3. Assumptions'!$B$113</f>
        <v/>
      </c>
      <c r="D16" s="271">
        <f>D15*'3. Assumptions'!$B$113</f>
        <v/>
      </c>
      <c r="E16" s="271">
        <f>E15*'3. Assumptions'!$B$113</f>
        <v/>
      </c>
      <c r="F16" s="271">
        <f>F15*'3. Assumptions'!$B$113</f>
        <v/>
      </c>
      <c r="G16" s="271">
        <f>G15*'3. Assumptions'!$B$113</f>
        <v/>
      </c>
      <c r="H16" s="110">
        <f>SUM(C16:G16)</f>
        <v/>
      </c>
    </row>
    <row r="17">
      <c r="B17" t="inlineStr">
        <is>
          <t xml:space="preserve">  Lockers (lockers)</t>
        </is>
      </c>
      <c r="C17" s="130" t="n">
        <v>900</v>
      </c>
      <c r="D17" s="130" t="n">
        <v>1400</v>
      </c>
      <c r="E17" s="130" t="n">
        <v>1890</v>
      </c>
      <c r="F17" s="130" t="n">
        <v>3200</v>
      </c>
      <c r="G17" s="130" t="n">
        <v>4990</v>
      </c>
    </row>
    <row r="18" hidden="1" s="277">
      <c r="B18" s="126" t="inlineStr">
        <is>
          <t xml:space="preserve">    revenue ($, net)</t>
        </is>
      </c>
      <c r="C18" s="271">
        <f>C17*'3. Assumptions'!$B$114</f>
        <v/>
      </c>
      <c r="D18" s="271">
        <f>D17*'3. Assumptions'!$B$114</f>
        <v/>
      </c>
      <c r="E18" s="271">
        <f>E17*'3. Assumptions'!$B$114</f>
        <v/>
      </c>
      <c r="F18" s="271">
        <f>F17*'3. Assumptions'!$B$114</f>
        <v/>
      </c>
      <c r="G18" s="271">
        <f>G17*'3. Assumptions'!$B$114</f>
        <v/>
      </c>
      <c r="H18" s="110">
        <f>SUM(C18:G18)</f>
        <v/>
      </c>
    </row>
    <row r="19">
      <c r="B19" t="inlineStr">
        <is>
          <t xml:space="preserve">  Integrate (integrations)</t>
        </is>
      </c>
      <c r="C19" s="130" t="n">
        <v>4</v>
      </c>
      <c r="D19" s="130" t="n">
        <v>10</v>
      </c>
      <c r="E19" s="130" t="n">
        <v>18</v>
      </c>
      <c r="F19" s="130" t="n">
        <v>25</v>
      </c>
      <c r="G19" s="130" t="n">
        <v>30</v>
      </c>
    </row>
    <row r="20" hidden="1" s="277">
      <c r="B20" s="126" t="inlineStr">
        <is>
          <t xml:space="preserve">    revenue ($, net)</t>
        </is>
      </c>
      <c r="C20" s="271">
        <f>C19*'3. Assumptions'!$B$115</f>
        <v/>
      </c>
      <c r="D20" s="271">
        <f>D19*'3. Assumptions'!$B$115</f>
        <v/>
      </c>
      <c r="E20" s="271">
        <f>E19*'3. Assumptions'!$B$115</f>
        <v/>
      </c>
      <c r="F20" s="271">
        <f>F19*'3. Assumptions'!$B$115</f>
        <v/>
      </c>
      <c r="G20" s="271">
        <f>G19*'3. Assumptions'!$B$115</f>
        <v/>
      </c>
      <c r="H20" s="110">
        <f>SUM(C20:G20)</f>
        <v/>
      </c>
    </row>
    <row r="21">
      <c r="B21" t="inlineStr">
        <is>
          <t xml:space="preserve">  Booking Sites (bundle: 1× Cloud S license + 2.5% txn fee)</t>
        </is>
      </c>
      <c r="C21" s="216" t="n">
        <v>12</v>
      </c>
      <c r="D21" s="216" t="n">
        <v>65</v>
      </c>
      <c r="E21" s="216" t="n">
        <v>110</v>
      </c>
      <c r="F21" s="216" t="n">
        <v>279</v>
      </c>
      <c r="G21" s="216" t="n">
        <v>376</v>
      </c>
    </row>
    <row r="22" hidden="1" s="277">
      <c r="B22" s="126" t="inlineStr">
        <is>
          <t xml:space="preserve">    revenue ($, net) — license + txn</t>
        </is>
      </c>
      <c r="C22" s="217">
        <f>C21*('3. Assumptions'!$B$5*(1-'3. Assumptions'!$B$21)+100*'3. Assumptions'!$B$16*'3. Assumptions'!$B$15)</f>
        <v/>
      </c>
      <c r="D22" s="217">
        <f>D21*('3. Assumptions'!$B$5*(1-'3. Assumptions'!$B$21)+150*'3. Assumptions'!$B$16*'3. Assumptions'!$B$15)</f>
        <v/>
      </c>
      <c r="E22" s="217">
        <f>E21*('3. Assumptions'!$B$5*(1-'3. Assumptions'!$B$21)+200*'3. Assumptions'!$B$16*'3. Assumptions'!$B$15)</f>
        <v/>
      </c>
      <c r="F22" s="217">
        <f>F21*('3. Assumptions'!$B$5*(1-'3. Assumptions'!$B$21)+250*'3. Assumptions'!$B$16*'3. Assumptions'!$B$15)</f>
        <v/>
      </c>
      <c r="G22" s="217">
        <f>G21*('3. Assumptions'!$B$5*(1-'3. Assumptions'!$B$21)+300*'3. Assumptions'!$B$16*'3. Assumptions'!$B$15)</f>
        <v/>
      </c>
      <c r="H22" s="110">
        <f>SUM(C22:G22)</f>
        <v/>
      </c>
    </row>
    <row r="23">
      <c r="B23" s="274" t="inlineStr">
        <is>
          <t xml:space="preserve">  ACaaS sites (or Alt: digital locks + integrations @ 65% — see B6 toggle)</t>
        </is>
      </c>
      <c r="C23" s="275">
        <f>IF('2. Dashboard'!$B$6="Yes",9,9*'3. Assumptions'!$B$94)</f>
        <v/>
      </c>
      <c r="D23" s="275">
        <f>IF('2. Dashboard'!$B$6="Yes",27,27*'3. Assumptions'!$B$94)</f>
        <v/>
      </c>
      <c r="E23" s="275">
        <f>IF('2. Dashboard'!$B$6="Yes",85,85*'3. Assumptions'!$B$94)</f>
        <v/>
      </c>
      <c r="F23" s="275">
        <f>IF('2. Dashboard'!$B$6="Yes",157,157*'3. Assumptions'!$B$94)</f>
        <v/>
      </c>
      <c r="G23" s="275">
        <f>IF('2. Dashboard'!$B$6="Yes",313,313*'3. Assumptions'!$B$94)</f>
        <v/>
      </c>
    </row>
    <row r="24" hidden="1" s="277">
      <c r="B24" s="126" t="inlineStr">
        <is>
          <t xml:space="preserve">    revenue ($, net)</t>
        </is>
      </c>
      <c r="C24" s="271">
        <f>C23*'3. Assumptions'!$B$116</f>
        <v/>
      </c>
      <c r="D24" s="271">
        <f>D23*'3. Assumptions'!$B$116</f>
        <v/>
      </c>
      <c r="E24" s="271">
        <f>E23*'3. Assumptions'!$B$116</f>
        <v/>
      </c>
      <c r="F24" s="271">
        <f>F23*'3. Assumptions'!$B$116</f>
        <v/>
      </c>
      <c r="G24" s="271">
        <f>G23*'3. Assumptions'!$B$116</f>
        <v/>
      </c>
      <c r="H24" s="110">
        <f>SUM(C24:G24)</f>
        <v/>
      </c>
    </row>
    <row r="25">
      <c r="B25" s="131" t="inlineStr">
        <is>
          <t>SaaS Subtotal (new sites, excl. Y0 retention, excl. ACaaS)</t>
        </is>
      </c>
      <c r="C25" s="132">
        <f>C12+C14+C16+C18+C20+C22</f>
        <v/>
      </c>
      <c r="D25" s="132">
        <f>D12+D14+D16+D18+D20+D22</f>
        <v/>
      </c>
      <c r="E25" s="132">
        <f>E12+E14+E16+E18+E20+E22</f>
        <v/>
      </c>
      <c r="F25" s="132">
        <f>F12+F14+F16+F18+F20+F22</f>
        <v/>
      </c>
      <c r="G25" s="132">
        <f>G12+G14+G16+G18+G20+G22</f>
        <v/>
      </c>
      <c r="H25" s="132">
        <f>SUM(C25:G25)</f>
        <v/>
      </c>
    </row>
    <row r="26">
      <c r="B26" s="246" t="inlineStr">
        <is>
          <t xml:space="preserve">  Total Retained ARR Base (incl. all prior cohorts, after churn &amp; uplift)</t>
        </is>
      </c>
      <c r="C26" s="247">
        <f>'3. Assumptions'!$B$41*(1-'3. Assumptions'!$B$35)*(1+'3. Assumptions'!$B$37)</f>
        <v/>
      </c>
      <c r="D26" s="247">
        <f>(C26+C25+C24)*(1-'3. Assumptions'!$B$35)*(1+'3. Assumptions'!$B$37)</f>
        <v/>
      </c>
      <c r="E26" s="247">
        <f>(D26+D25+D24)*(1-'3. Assumptions'!$B$35)*(1+'3. Assumptions'!$B$37)</f>
        <v/>
      </c>
      <c r="F26" s="247">
        <f>(E26+E25+E24)*(1-'3. Assumptions'!$B$35)*(1+'3. Assumptions'!$B$37)</f>
        <v/>
      </c>
      <c r="G26" s="247">
        <f>(F26+F25+F24)*(1-'3. Assumptions'!$B$35)*(1+'3. Assumptions'!$B$37)</f>
        <v/>
      </c>
    </row>
    <row r="27">
      <c r="B27" s="157" t="inlineStr">
        <is>
          <t>HARDWARE PRODUCTS  (units + revenue)</t>
        </is>
      </c>
      <c r="C27" s="157" t="n"/>
      <c r="D27" s="157" t="n"/>
      <c r="E27" s="157" t="n"/>
      <c r="F27" s="157" t="n"/>
      <c r="G27" s="157" t="n"/>
      <c r="H27" s="157" t="n"/>
    </row>
    <row r="28">
      <c r="B28" s="55" t="inlineStr">
        <is>
          <t xml:space="preserve">  HW Locks (base + 1 lock per booking site)</t>
        </is>
      </c>
      <c r="C28" s="219">
        <f>449+C21*'3. Assumptions'!$B$19</f>
        <v/>
      </c>
      <c r="D28" s="219">
        <f>950+D21*'3. Assumptions'!$B$19</f>
        <v/>
      </c>
      <c r="E28" s="219">
        <f>1399+E21*'3. Assumptions'!$B$19</f>
        <v/>
      </c>
      <c r="F28" s="219">
        <f>2226+F21*'3. Assumptions'!$B$19</f>
        <v/>
      </c>
      <c r="G28" s="219">
        <f>3563+G21*'3. Assumptions'!$B$19</f>
        <v/>
      </c>
    </row>
    <row r="29" hidden="1" s="277">
      <c r="B29" s="158" t="inlineStr">
        <is>
          <t xml:space="preserve">    revenue ($, gross)</t>
        </is>
      </c>
      <c r="C29" s="159">
        <f>C28*'3. Assumptions'!$B$18</f>
        <v/>
      </c>
      <c r="D29" s="159">
        <f>D28*'3. Assumptions'!$B$18</f>
        <v/>
      </c>
      <c r="E29" s="159">
        <f>E28*'3. Assumptions'!$B$18</f>
        <v/>
      </c>
      <c r="F29" s="159">
        <f>F28*'3. Assumptions'!$B$18</f>
        <v/>
      </c>
      <c r="G29" s="159">
        <f>G28*'3. Assumptions'!$B$18</f>
        <v/>
      </c>
      <c r="H29" s="110">
        <f>SUM(C29:G29)</f>
        <v/>
      </c>
    </row>
    <row r="30">
      <c r="B30" s="55" t="inlineStr">
        <is>
          <t xml:space="preserve">  HW Panels (panels)</t>
        </is>
      </c>
      <c r="C30" s="244">
        <f>IF('2. Dashboard'!$B$6="Yes",13,0)</f>
        <v/>
      </c>
      <c r="D30" s="244">
        <f>IF('2. Dashboard'!$B$6="Yes",27,0)</f>
        <v/>
      </c>
      <c r="E30" s="244">
        <f>IF('2. Dashboard'!$B$6="Yes",87,0)</f>
        <v/>
      </c>
      <c r="F30" s="244">
        <f>IF('2. Dashboard'!$B$6="Yes",107,0)</f>
        <v/>
      </c>
      <c r="G30" s="244">
        <f>IF('2. Dashboard'!$B$6="Yes",235,0)</f>
        <v/>
      </c>
    </row>
    <row r="31" hidden="1" s="277">
      <c r="B31" s="158" t="inlineStr">
        <is>
          <t xml:space="preserve">    revenue ($, gross)</t>
        </is>
      </c>
      <c r="C31" s="271">
        <f>C30*'3. Assumptions'!$B$117</f>
        <v/>
      </c>
      <c r="D31" s="271">
        <f>D30*'3. Assumptions'!$B$117</f>
        <v/>
      </c>
      <c r="E31" s="271">
        <f>E30*'3. Assumptions'!$B$117</f>
        <v/>
      </c>
      <c r="F31" s="271">
        <f>F30*'3. Assumptions'!$B$117</f>
        <v/>
      </c>
      <c r="G31" s="271">
        <f>G30*'3. Assumptions'!$B$117</f>
        <v/>
      </c>
      <c r="H31" s="110">
        <f>SUM(C31:G31)</f>
        <v/>
      </c>
    </row>
    <row r="32">
      <c r="B32" s="131" t="inlineStr">
        <is>
          <t>Hardware Subtotal</t>
        </is>
      </c>
      <c r="C32" s="132">
        <f>C29+C31</f>
        <v/>
      </c>
      <c r="D32" s="132">
        <f>D29+D31</f>
        <v/>
      </c>
      <c r="E32" s="132">
        <f>E29+E31</f>
        <v/>
      </c>
      <c r="F32" s="132">
        <f>F29+F31</f>
        <v/>
      </c>
      <c r="G32" s="132">
        <f>G29+G31</f>
        <v/>
      </c>
      <c r="H32" s="132">
        <f>SUM(C32:G32)</f>
        <v/>
      </c>
    </row>
    <row r="34">
      <c r="B34" s="133" t="inlineStr">
        <is>
          <t>TOTAL REVENUE</t>
        </is>
      </c>
      <c r="C34" s="134">
        <f>C25+C32</f>
        <v/>
      </c>
      <c r="D34" s="134">
        <f>D25+D32</f>
        <v/>
      </c>
      <c r="E34" s="134">
        <f>E25+E32</f>
        <v/>
      </c>
      <c r="F34" s="134">
        <f>F25+F32</f>
        <v/>
      </c>
      <c r="G34" s="134">
        <f>G25+G32</f>
        <v/>
      </c>
      <c r="H34" s="134">
        <f>SUM(C34:G34)</f>
        <v/>
      </c>
    </row>
    <row r="37">
      <c r="B37" s="127" t="inlineStr">
        <is>
          <t>M + ZEZAMII (modest LSC) -- Y1=70 sites | 1.85x growth | Y5 active sites=1622</t>
        </is>
      </c>
      <c r="C37" s="127" t="n"/>
      <c r="D37" s="127" t="n"/>
      <c r="E37" s="127" t="n"/>
      <c r="F37" s="127" t="n"/>
      <c r="G37" s="127" t="n"/>
      <c r="H37" s="127" t="n"/>
    </row>
    <row r="38">
      <c r="C38" s="121" t="inlineStr">
        <is>
          <t>Y1</t>
        </is>
      </c>
      <c r="D38" s="121" t="inlineStr">
        <is>
          <t>Y2</t>
        </is>
      </c>
      <c r="E38" s="121" t="inlineStr">
        <is>
          <t>Y3</t>
        </is>
      </c>
      <c r="F38" s="121" t="inlineStr">
        <is>
          <t>Y4</t>
        </is>
      </c>
      <c r="G38" s="121" t="inlineStr">
        <is>
          <t>Y5</t>
        </is>
      </c>
      <c r="H38" s="121" t="inlineStr">
        <is>
          <t>5yr Cum</t>
        </is>
      </c>
    </row>
    <row r="39">
      <c r="B39" s="55" t="inlineStr">
        <is>
          <t>Active sites (from Revenue tab)</t>
        </is>
      </c>
      <c r="C39" s="128" t="n">
        <v>93</v>
      </c>
      <c r="D39" s="128" t="n">
        <v>216</v>
      </c>
      <c r="E39" s="128" t="n">
        <v>442</v>
      </c>
      <c r="F39" s="128" t="n">
        <v>857</v>
      </c>
      <c r="G39" s="128" t="n">
        <v>1622</v>
      </c>
    </row>
    <row r="40">
      <c r="B40" s="55" t="inlineStr">
        <is>
          <t>New sites added (from Revenue tab)</t>
        </is>
      </c>
      <c r="C40" s="128" t="n">
        <v>70</v>
      </c>
      <c r="D40" s="128" t="n">
        <v>130</v>
      </c>
      <c r="E40" s="128" t="n">
        <v>241</v>
      </c>
      <c r="F40" s="128" t="n">
        <v>446</v>
      </c>
      <c r="G40" s="128" t="n">
        <v>825</v>
      </c>
      <c r="H40" s="128" t="n">
        <v>1712</v>
      </c>
    </row>
    <row r="41">
      <c r="B41" s="245" t="inlineStr">
        <is>
          <t xml:space="preserve">  Y0 Baseline Retained ARR (churn 5% offset by 5% uplift)</t>
        </is>
      </c>
      <c r="C41" s="213">
        <f>Revenue!C19</f>
        <v/>
      </c>
      <c r="D41" s="213">
        <f>Revenue!D19</f>
        <v/>
      </c>
      <c r="E41" s="213">
        <f>Revenue!E19</f>
        <v/>
      </c>
      <c r="F41" s="213">
        <f>Revenue!F19</f>
        <v/>
      </c>
      <c r="G41" s="213">
        <f>Revenue!G19</f>
        <v/>
      </c>
    </row>
    <row r="42">
      <c r="B42" s="129" t="inlineStr">
        <is>
          <t>SaaS PRODUCTS  (units + revenue)</t>
        </is>
      </c>
      <c r="C42" s="129" t="n"/>
      <c r="D42" s="129" t="n"/>
      <c r="E42" s="129" t="n"/>
      <c r="F42" s="129" t="n"/>
      <c r="G42" s="129" t="n"/>
      <c r="H42" s="129" t="n"/>
    </row>
    <row r="43">
      <c r="B43" t="inlineStr">
        <is>
          <t xml:space="preserve">  Cloud Base (sites)</t>
        </is>
      </c>
      <c r="C43" s="130" t="n">
        <v>60</v>
      </c>
      <c r="D43" s="130" t="n">
        <v>122</v>
      </c>
      <c r="E43" s="130" t="n">
        <v>182</v>
      </c>
      <c r="F43" s="130" t="n">
        <v>393</v>
      </c>
      <c r="G43" s="130" t="n">
        <v>782</v>
      </c>
    </row>
    <row r="44" hidden="1" s="277">
      <c r="B44" s="126" t="inlineStr">
        <is>
          <t xml:space="preserve">    revenue ($, net)</t>
        </is>
      </c>
      <c r="C44" s="271">
        <f>C43*'3. Assumptions'!$B$111</f>
        <v/>
      </c>
      <c r="D44" s="271">
        <f>D43*'3. Assumptions'!$B$111</f>
        <v/>
      </c>
      <c r="E44" s="271">
        <f>E43*'3. Assumptions'!$B$111</f>
        <v/>
      </c>
      <c r="F44" s="271">
        <f>F43*'3. Assumptions'!$B$111</f>
        <v/>
      </c>
      <c r="G44" s="271">
        <f>G43*'3. Assumptions'!$B$111</f>
        <v/>
      </c>
      <c r="H44" s="110">
        <f>SUM(C44:G44)</f>
        <v/>
      </c>
    </row>
    <row r="45">
      <c r="B45" t="inlineStr">
        <is>
          <t xml:space="preserve">  Access (packs)</t>
        </is>
      </c>
      <c r="C45" s="130" t="n">
        <v>41</v>
      </c>
      <c r="D45" s="130" t="n">
        <v>103</v>
      </c>
      <c r="E45" s="130" t="n">
        <v>215</v>
      </c>
      <c r="F45" s="130" t="n">
        <v>401</v>
      </c>
      <c r="G45" s="130" t="n">
        <v>806</v>
      </c>
    </row>
    <row r="46" hidden="1" s="277">
      <c r="B46" s="126" t="inlineStr">
        <is>
          <t xml:space="preserve">    revenue ($, net)</t>
        </is>
      </c>
      <c r="C46" s="271">
        <f>C45*'3. Assumptions'!$B$112</f>
        <v/>
      </c>
      <c r="D46" s="271">
        <f>D45*'3. Assumptions'!$B$112</f>
        <v/>
      </c>
      <c r="E46" s="271">
        <f>E45*'3. Assumptions'!$B$112</f>
        <v/>
      </c>
      <c r="F46" s="271">
        <f>F45*'3. Assumptions'!$B$112</f>
        <v/>
      </c>
      <c r="G46" s="271">
        <f>G45*'3. Assumptions'!$B$112</f>
        <v/>
      </c>
      <c r="H46" s="110">
        <f>SUM(C46:G46)</f>
        <v/>
      </c>
    </row>
    <row r="47">
      <c r="B47" t="inlineStr">
        <is>
          <t xml:space="preserve">  Rooms (rooms)</t>
        </is>
      </c>
      <c r="C47" s="130" t="n">
        <v>1760</v>
      </c>
      <c r="D47" s="130" t="n">
        <v>3020</v>
      </c>
      <c r="E47" s="130" t="n">
        <v>4990</v>
      </c>
      <c r="F47" s="130" t="n">
        <v>6671</v>
      </c>
      <c r="G47" s="130" t="n">
        <v>11092</v>
      </c>
    </row>
    <row r="48" hidden="1" s="277">
      <c r="B48" s="126" t="inlineStr">
        <is>
          <t xml:space="preserve">    revenue ($, net)</t>
        </is>
      </c>
      <c r="C48" s="271">
        <f>C47*'3. Assumptions'!$B$113</f>
        <v/>
      </c>
      <c r="D48" s="271">
        <f>D47*'3. Assumptions'!$B$113</f>
        <v/>
      </c>
      <c r="E48" s="271">
        <f>E47*'3. Assumptions'!$B$113</f>
        <v/>
      </c>
      <c r="F48" s="271">
        <f>F47*'3. Assumptions'!$B$113</f>
        <v/>
      </c>
      <c r="G48" s="271">
        <f>G47*'3. Assumptions'!$B$113</f>
        <v/>
      </c>
      <c r="H48" s="110">
        <f>SUM(C48:G48)</f>
        <v/>
      </c>
    </row>
    <row r="49">
      <c r="B49" t="inlineStr">
        <is>
          <t xml:space="preserve">  Lockers (lockers)</t>
        </is>
      </c>
      <c r="C49" s="130" t="n">
        <v>1400</v>
      </c>
      <c r="D49" s="130" t="n">
        <v>2500</v>
      </c>
      <c r="E49" s="130" t="n">
        <v>3890</v>
      </c>
      <c r="F49" s="130" t="n">
        <v>5110</v>
      </c>
      <c r="G49" s="130" t="n">
        <v>7220</v>
      </c>
    </row>
    <row r="50" hidden="1" s="277">
      <c r="B50" s="126" t="inlineStr">
        <is>
          <t xml:space="preserve">    revenue ($, net)</t>
        </is>
      </c>
      <c r="C50" s="271">
        <f>C49*'3. Assumptions'!$B$114</f>
        <v/>
      </c>
      <c r="D50" s="271">
        <f>D49*'3. Assumptions'!$B$114</f>
        <v/>
      </c>
      <c r="E50" s="271">
        <f>E49*'3. Assumptions'!$B$114</f>
        <v/>
      </c>
      <c r="F50" s="271">
        <f>F49*'3. Assumptions'!$B$114</f>
        <v/>
      </c>
      <c r="G50" s="271">
        <f>G49*'3. Assumptions'!$B$114</f>
        <v/>
      </c>
      <c r="H50" s="110">
        <f>SUM(C50:G50)</f>
        <v/>
      </c>
    </row>
    <row r="51">
      <c r="B51" t="inlineStr">
        <is>
          <t xml:space="preserve">  Integrate (integrations)</t>
        </is>
      </c>
      <c r="C51" s="130" t="n">
        <v>8</v>
      </c>
      <c r="D51" s="130" t="n">
        <v>17</v>
      </c>
      <c r="E51" s="130" t="n">
        <v>36</v>
      </c>
      <c r="F51" s="130" t="n">
        <v>46</v>
      </c>
      <c r="G51" s="130" t="n">
        <v>70</v>
      </c>
    </row>
    <row r="52" hidden="1" s="277">
      <c r="B52" s="126" t="inlineStr">
        <is>
          <t xml:space="preserve">    revenue ($, net)</t>
        </is>
      </c>
      <c r="C52" s="271">
        <f>C51*'3. Assumptions'!$B$115</f>
        <v/>
      </c>
      <c r="D52" s="271">
        <f>D51*'3. Assumptions'!$B$115</f>
        <v/>
      </c>
      <c r="E52" s="271">
        <f>E51*'3. Assumptions'!$B$115</f>
        <v/>
      </c>
      <c r="F52" s="271">
        <f>F51*'3. Assumptions'!$B$115</f>
        <v/>
      </c>
      <c r="G52" s="271">
        <f>G51*'3. Assumptions'!$B$115</f>
        <v/>
      </c>
      <c r="H52" s="110">
        <f>SUM(C52:G52)</f>
        <v/>
      </c>
    </row>
    <row r="53">
      <c r="B53" t="inlineStr">
        <is>
          <t xml:space="preserve">  Booking Sites (bundle: 1× Cloud S license + 2.5% txn fee)</t>
        </is>
      </c>
      <c r="C53" s="216" t="n">
        <v>22</v>
      </c>
      <c r="D53" s="216" t="n">
        <v>89</v>
      </c>
      <c r="E53" s="216" t="n">
        <v>148</v>
      </c>
      <c r="F53" s="216" t="n">
        <v>322</v>
      </c>
      <c r="G53" s="216" t="n">
        <v>511</v>
      </c>
    </row>
    <row r="54" hidden="1" s="277">
      <c r="B54" s="126" t="inlineStr">
        <is>
          <t xml:space="preserve">    revenue ($, net) — license + txn</t>
        </is>
      </c>
      <c r="C54" s="217">
        <f>C53*('3. Assumptions'!$B$5*(1-'3. Assumptions'!$B$21)+100*'3. Assumptions'!$B$16*'3. Assumptions'!$B$15)</f>
        <v/>
      </c>
      <c r="D54" s="217">
        <f>D53*('3. Assumptions'!$B$5*(1-'3. Assumptions'!$B$21)+150*'3. Assumptions'!$B$16*'3. Assumptions'!$B$15)</f>
        <v/>
      </c>
      <c r="E54" s="217">
        <f>E53*('3. Assumptions'!$B$5*(1-'3. Assumptions'!$B$21)+200*'3. Assumptions'!$B$16*'3. Assumptions'!$B$15)</f>
        <v/>
      </c>
      <c r="F54" s="217">
        <f>F53*('3. Assumptions'!$B$5*(1-'3. Assumptions'!$B$21)+250*'3. Assumptions'!$B$16*'3. Assumptions'!$B$15)</f>
        <v/>
      </c>
      <c r="G54" s="217">
        <f>G53*('3. Assumptions'!$B$5*(1-'3. Assumptions'!$B$21)+300*'3. Assumptions'!$B$16*'3. Assumptions'!$B$15)</f>
        <v/>
      </c>
      <c r="H54" s="110">
        <f>SUM(C54:G54)</f>
        <v/>
      </c>
    </row>
    <row r="55">
      <c r="B55" s="274" t="inlineStr">
        <is>
          <t xml:space="preserve">  ACaaS sites (or Alt: digital locks + integrations @ 65% — see B6 toggle)</t>
        </is>
      </c>
      <c r="C55" s="275">
        <f>IF('2. Dashboard'!$B$6="Yes",21,21*'3. Assumptions'!$B$94)</f>
        <v/>
      </c>
      <c r="D55" s="275">
        <f>IF('2. Dashboard'!$B$6="Yes",62,62*'3. Assumptions'!$B$94)</f>
        <v/>
      </c>
      <c r="E55" s="275">
        <f>IF('2. Dashboard'!$B$6="Yes",196,196*'3. Assumptions'!$B$94)</f>
        <v/>
      </c>
      <c r="F55" s="275">
        <f>IF('2. Dashboard'!$B$6="Yes",362,362*'3. Assumptions'!$B$94)</f>
        <v/>
      </c>
      <c r="G55" s="275">
        <f>IF('2. Dashboard'!$B$6="Yes",724,724*'3. Assumptions'!$B$94)</f>
        <v/>
      </c>
    </row>
    <row r="56" hidden="1" s="277">
      <c r="B56" s="126" t="inlineStr">
        <is>
          <t xml:space="preserve">    revenue ($, net)</t>
        </is>
      </c>
      <c r="C56" s="271">
        <f>C55*'3. Assumptions'!$B$116</f>
        <v/>
      </c>
      <c r="D56" s="271">
        <f>D55*'3. Assumptions'!$B$116</f>
        <v/>
      </c>
      <c r="E56" s="271">
        <f>E55*'3. Assumptions'!$B$116</f>
        <v/>
      </c>
      <c r="F56" s="271">
        <f>F55*'3. Assumptions'!$B$116</f>
        <v/>
      </c>
      <c r="G56" s="271">
        <f>G55*'3. Assumptions'!$B$116</f>
        <v/>
      </c>
      <c r="H56" s="110">
        <f>SUM(C56:G56)</f>
        <v/>
      </c>
    </row>
    <row r="57">
      <c r="B57" s="131" t="inlineStr">
        <is>
          <t>SaaS Subtotal (new sites, excl. Y0 retention, excl. ACaaS)</t>
        </is>
      </c>
      <c r="C57" s="132">
        <f>C44+C46+C48+C50+C52+C54</f>
        <v/>
      </c>
      <c r="D57" s="132">
        <f>D44+D46+D48+D50+D52+D54</f>
        <v/>
      </c>
      <c r="E57" s="132">
        <f>E44+E46+E48+E50+E52+E54</f>
        <v/>
      </c>
      <c r="F57" s="132">
        <f>F44+F46+F48+F50+F52+F54</f>
        <v/>
      </c>
      <c r="G57" s="132">
        <f>G44+G46+G48+G50+G52+G54</f>
        <v/>
      </c>
      <c r="H57" s="132">
        <f>SUM(C57:G57)</f>
        <v/>
      </c>
    </row>
    <row r="58">
      <c r="B58" s="246" t="inlineStr">
        <is>
          <t xml:space="preserve">  Total Retained ARR Base (incl. all prior cohorts, after churn &amp; uplift)</t>
        </is>
      </c>
      <c r="C58" s="247">
        <f>'3. Assumptions'!$B$41*(1-'3. Assumptions'!$B$35)*(1+'3. Assumptions'!$B$37)</f>
        <v/>
      </c>
      <c r="D58" s="247">
        <f>(C58+C57+C56)*(1-'3. Assumptions'!$B$35)*(1+'3. Assumptions'!$B$37)</f>
        <v/>
      </c>
      <c r="E58" s="247">
        <f>(D58+D57+D56)*(1-'3. Assumptions'!$B$35)*(1+'3. Assumptions'!$B$37)</f>
        <v/>
      </c>
      <c r="F58" s="247">
        <f>(E58+E57+E56)*(1-'3. Assumptions'!$B$35)*(1+'3. Assumptions'!$B$37)</f>
        <v/>
      </c>
      <c r="G58" s="247">
        <f>(F58+F57+F56)*(1-'3. Assumptions'!$B$35)*(1+'3. Assumptions'!$B$37)</f>
        <v/>
      </c>
    </row>
    <row r="59">
      <c r="B59" s="157" t="inlineStr">
        <is>
          <t>HARDWARE PRODUCTS  (units + revenue)</t>
        </is>
      </c>
      <c r="C59" s="157" t="n"/>
      <c r="D59" s="157" t="n"/>
      <c r="E59" s="157" t="n"/>
      <c r="F59" s="157" t="n"/>
      <c r="G59" s="157" t="n"/>
      <c r="H59" s="157" t="n"/>
    </row>
    <row r="60">
      <c r="B60" s="55" t="inlineStr">
        <is>
          <t xml:space="preserve">  HW Locks (base + 1 lock per booking site)</t>
        </is>
      </c>
      <c r="C60" s="219">
        <f>1036+C53*'3. Assumptions'!$B$19</f>
        <v/>
      </c>
      <c r="D60" s="219">
        <f>2194+D53*'3. Assumptions'!$B$19</f>
        <v/>
      </c>
      <c r="E60" s="219">
        <f>3229+E53*'3. Assumptions'!$B$19</f>
        <v/>
      </c>
      <c r="F60" s="219">
        <f>5139+F53*'3. Assumptions'!$B$19</f>
        <v/>
      </c>
      <c r="G60" s="219">
        <f>8227+G53*'3. Assumptions'!$B$19</f>
        <v/>
      </c>
    </row>
    <row r="61" hidden="1" s="277">
      <c r="B61" s="158" t="inlineStr">
        <is>
          <t xml:space="preserve">    revenue ($, gross)</t>
        </is>
      </c>
      <c r="C61" s="159">
        <f>C60*'3. Assumptions'!$B$18</f>
        <v/>
      </c>
      <c r="D61" s="159">
        <f>D60*'3. Assumptions'!$B$18</f>
        <v/>
      </c>
      <c r="E61" s="159">
        <f>E60*'3. Assumptions'!$B$18</f>
        <v/>
      </c>
      <c r="F61" s="159">
        <f>F60*'3. Assumptions'!$B$18</f>
        <v/>
      </c>
      <c r="G61" s="159">
        <f>G60*'3. Assumptions'!$B$18</f>
        <v/>
      </c>
      <c r="H61" s="110">
        <f>SUM(C61:G61)</f>
        <v/>
      </c>
    </row>
    <row r="62">
      <c r="B62" s="55" t="inlineStr">
        <is>
          <t xml:space="preserve">  HW Panels (panels)</t>
        </is>
      </c>
      <c r="C62" s="244">
        <f>IF('2. Dashboard'!$B$6="Yes",31,0)</f>
        <v/>
      </c>
      <c r="D62" s="244">
        <f>IF('2. Dashboard'!$B$6="Yes",62,0)</f>
        <v/>
      </c>
      <c r="E62" s="244">
        <f>IF('2. Dashboard'!$B$6="Yes",202,0)</f>
        <v/>
      </c>
      <c r="F62" s="244">
        <f>IF('2. Dashboard'!$B$6="Yes",248,0)</f>
        <v/>
      </c>
      <c r="G62" s="244">
        <f>IF('2. Dashboard'!$B$6="Yes",543,0)</f>
        <v/>
      </c>
    </row>
    <row r="63" hidden="1" s="277">
      <c r="B63" s="158" t="inlineStr">
        <is>
          <t xml:space="preserve">    revenue ($, gross)</t>
        </is>
      </c>
      <c r="C63" s="271">
        <f>C62*'3. Assumptions'!$B$117</f>
        <v/>
      </c>
      <c r="D63" s="271">
        <f>D62*'3. Assumptions'!$B$117</f>
        <v/>
      </c>
      <c r="E63" s="271">
        <f>E62*'3. Assumptions'!$B$117</f>
        <v/>
      </c>
      <c r="F63" s="271">
        <f>F62*'3. Assumptions'!$B$117</f>
        <v/>
      </c>
      <c r="G63" s="271">
        <f>G62*'3. Assumptions'!$B$117</f>
        <v/>
      </c>
      <c r="H63" s="110">
        <f>SUM(C63:G63)</f>
        <v/>
      </c>
    </row>
    <row r="64">
      <c r="B64" s="131" t="inlineStr">
        <is>
          <t>Hardware Subtotal</t>
        </is>
      </c>
      <c r="C64" s="132">
        <f>C61+C63</f>
        <v/>
      </c>
      <c r="D64" s="132">
        <f>D61+D63</f>
        <v/>
      </c>
      <c r="E64" s="132">
        <f>E61+E63</f>
        <v/>
      </c>
      <c r="F64" s="132">
        <f>F61+F63</f>
        <v/>
      </c>
      <c r="G64" s="132">
        <f>G61+G63</f>
        <v/>
      </c>
      <c r="H64" s="132">
        <f>SUM(C64:G64)</f>
        <v/>
      </c>
    </row>
    <row r="66">
      <c r="B66" s="133" t="inlineStr">
        <is>
          <t>TOTAL REVENUE</t>
        </is>
      </c>
      <c r="C66" s="134">
        <f>C57+C64</f>
        <v/>
      </c>
      <c r="D66" s="134">
        <f>D57+D64</f>
        <v/>
      </c>
      <c r="E66" s="134">
        <f>E57+E64</f>
        <v/>
      </c>
      <c r="F66" s="134">
        <f>F57+F64</f>
        <v/>
      </c>
      <c r="G66" s="134">
        <f>G57+G64</f>
        <v/>
      </c>
      <c r="H66" s="134">
        <f>SUM(C66:G66)</f>
        <v/>
      </c>
    </row>
    <row r="69">
      <c r="B69" s="127" t="inlineStr">
        <is>
          <t>L + LSC TEAM (full LSC) -- Y1=110 sites | 2.0x growth | Y5 active sites=3236</t>
        </is>
      </c>
      <c r="C69" s="127" t="n"/>
      <c r="D69" s="127" t="n"/>
      <c r="E69" s="127" t="n"/>
      <c r="F69" s="127" t="n"/>
      <c r="G69" s="127" t="n"/>
      <c r="H69" s="127" t="n"/>
    </row>
    <row r="70">
      <c r="C70" s="121" t="inlineStr">
        <is>
          <t>Y1</t>
        </is>
      </c>
      <c r="D70" s="121" t="inlineStr">
        <is>
          <t>Y2</t>
        </is>
      </c>
      <c r="E70" s="121" t="inlineStr">
        <is>
          <t>Y3</t>
        </is>
      </c>
      <c r="F70" s="121" t="inlineStr">
        <is>
          <t>Y4</t>
        </is>
      </c>
      <c r="G70" s="121" t="inlineStr">
        <is>
          <t>Y5</t>
        </is>
      </c>
      <c r="H70" s="121" t="inlineStr">
        <is>
          <t>5yr Cum</t>
        </is>
      </c>
    </row>
    <row r="71">
      <c r="B71" s="55" t="inlineStr">
        <is>
          <t>Active sites (from Revenue tab)</t>
        </is>
      </c>
      <c r="C71" s="128" t="n">
        <v>133</v>
      </c>
      <c r="D71" s="128" t="n">
        <v>344</v>
      </c>
      <c r="E71" s="128" t="n">
        <v>760</v>
      </c>
      <c r="F71" s="128" t="n">
        <v>1587</v>
      </c>
      <c r="G71" s="128" t="n">
        <v>3236</v>
      </c>
    </row>
    <row r="72">
      <c r="B72" s="55" t="inlineStr">
        <is>
          <t>New sites added (from Revenue tab)</t>
        </is>
      </c>
      <c r="C72" s="128" t="n">
        <v>110</v>
      </c>
      <c r="D72" s="128" t="n">
        <v>220</v>
      </c>
      <c r="E72" s="128" t="n">
        <v>440</v>
      </c>
      <c r="F72" s="128" t="n">
        <v>880</v>
      </c>
      <c r="G72" s="128" t="n">
        <v>1760</v>
      </c>
      <c r="H72" s="128" t="n">
        <v>3410</v>
      </c>
    </row>
    <row r="73">
      <c r="B73" s="245" t="inlineStr">
        <is>
          <t xml:space="preserve">  Y0 Baseline Retained ARR (churn 5% offset by 5% uplift)</t>
        </is>
      </c>
      <c r="C73" s="213">
        <f>Revenue!C19</f>
        <v/>
      </c>
      <c r="D73" s="213">
        <f>Revenue!D19</f>
        <v/>
      </c>
      <c r="E73" s="213">
        <f>Revenue!E19</f>
        <v/>
      </c>
      <c r="F73" s="213">
        <f>Revenue!F19</f>
        <v/>
      </c>
      <c r="G73" s="213">
        <f>Revenue!G19</f>
        <v/>
      </c>
    </row>
    <row r="74">
      <c r="B74" s="129" t="inlineStr">
        <is>
          <t>SaaS PRODUCTS  (units + revenue)</t>
        </is>
      </c>
      <c r="C74" s="129" t="n"/>
      <c r="D74" s="129" t="n"/>
      <c r="E74" s="129" t="n"/>
      <c r="F74" s="129" t="n"/>
      <c r="G74" s="129" t="n"/>
      <c r="H74" s="129" t="n"/>
    </row>
    <row r="75">
      <c r="B75" t="inlineStr">
        <is>
          <t xml:space="preserve">  Cloud Base (sites)</t>
        </is>
      </c>
      <c r="C75" s="130" t="n">
        <v>110</v>
      </c>
      <c r="D75" s="130" t="n">
        <v>223</v>
      </c>
      <c r="E75" s="130" t="n">
        <v>479</v>
      </c>
      <c r="F75" s="130" t="n">
        <v>898</v>
      </c>
      <c r="G75" s="130" t="n">
        <v>1579</v>
      </c>
    </row>
    <row r="76" hidden="1" s="277">
      <c r="B76" s="126" t="inlineStr">
        <is>
          <t xml:space="preserve">    revenue ($, net)</t>
        </is>
      </c>
      <c r="C76" s="271">
        <f>C75*'3. Assumptions'!$B$111</f>
        <v/>
      </c>
      <c r="D76" s="271">
        <f>D75*'3. Assumptions'!$B$111</f>
        <v/>
      </c>
      <c r="E76" s="271">
        <f>E75*'3. Assumptions'!$B$111</f>
        <v/>
      </c>
      <c r="F76" s="271">
        <f>F75*'3. Assumptions'!$B$111</f>
        <v/>
      </c>
      <c r="G76" s="271">
        <f>G75*'3. Assumptions'!$B$111</f>
        <v/>
      </c>
      <c r="H76" s="110">
        <f>SUM(C76:G76)</f>
        <v/>
      </c>
    </row>
    <row r="77">
      <c r="B77" t="inlineStr">
        <is>
          <t xml:space="preserve">  Access (packs)</t>
        </is>
      </c>
      <c r="C77" s="130" t="n">
        <v>82</v>
      </c>
      <c r="D77" s="130" t="n">
        <v>169</v>
      </c>
      <c r="E77" s="130" t="n">
        <v>327</v>
      </c>
      <c r="F77" s="130" t="n">
        <v>659</v>
      </c>
      <c r="G77" s="130" t="n">
        <v>1808</v>
      </c>
    </row>
    <row r="78" hidden="1" s="277">
      <c r="B78" s="126" t="inlineStr">
        <is>
          <t xml:space="preserve">    revenue ($, net)</t>
        </is>
      </c>
      <c r="C78" s="271">
        <f>C77*'3. Assumptions'!$B$112</f>
        <v/>
      </c>
      <c r="D78" s="271">
        <f>D77*'3. Assumptions'!$B$112</f>
        <v/>
      </c>
      <c r="E78" s="271">
        <f>E77*'3. Assumptions'!$B$112</f>
        <v/>
      </c>
      <c r="F78" s="271">
        <f>F77*'3. Assumptions'!$B$112</f>
        <v/>
      </c>
      <c r="G78" s="271">
        <f>G77*'3. Assumptions'!$B$112</f>
        <v/>
      </c>
      <c r="H78" s="110">
        <f>SUM(C78:G78)</f>
        <v/>
      </c>
    </row>
    <row r="79">
      <c r="B79" t="inlineStr">
        <is>
          <t xml:space="preserve">  Rooms (rooms)</t>
        </is>
      </c>
      <c r="C79" s="130" t="n">
        <v>2178</v>
      </c>
      <c r="D79" s="130" t="n">
        <v>4791</v>
      </c>
      <c r="E79" s="130" t="n">
        <v>7862</v>
      </c>
      <c r="F79" s="130" t="n">
        <v>12305</v>
      </c>
      <c r="G79" s="130" t="n">
        <v>18512</v>
      </c>
    </row>
    <row r="80" hidden="1" s="277">
      <c r="B80" s="126" t="inlineStr">
        <is>
          <t xml:space="preserve">    revenue ($, net)</t>
        </is>
      </c>
      <c r="C80" s="271">
        <f>C79*'3. Assumptions'!$B$113</f>
        <v/>
      </c>
      <c r="D80" s="271">
        <f>D79*'3. Assumptions'!$B$113</f>
        <v/>
      </c>
      <c r="E80" s="271">
        <f>E79*'3. Assumptions'!$B$113</f>
        <v/>
      </c>
      <c r="F80" s="271">
        <f>F79*'3. Assumptions'!$B$113</f>
        <v/>
      </c>
      <c r="G80" s="271">
        <f>G79*'3. Assumptions'!$B$113</f>
        <v/>
      </c>
      <c r="H80" s="110">
        <f>SUM(C80:G80)</f>
        <v/>
      </c>
    </row>
    <row r="81">
      <c r="B81" t="inlineStr">
        <is>
          <t xml:space="preserve">  Lockers (lockers)</t>
        </is>
      </c>
      <c r="C81" s="130" t="n">
        <v>1361</v>
      </c>
      <c r="D81" s="130" t="n">
        <v>2722</v>
      </c>
      <c r="E81" s="130" t="n">
        <v>4846</v>
      </c>
      <c r="F81" s="130" t="n">
        <v>9583</v>
      </c>
      <c r="G81" s="130" t="n">
        <v>13067</v>
      </c>
    </row>
    <row r="82" hidden="1" s="277">
      <c r="B82" s="126" t="inlineStr">
        <is>
          <t xml:space="preserve">    revenue ($, net)</t>
        </is>
      </c>
      <c r="C82" s="271">
        <f>C81*'3. Assumptions'!$B$114</f>
        <v/>
      </c>
      <c r="D82" s="271">
        <f>D81*'3. Assumptions'!$B$114</f>
        <v/>
      </c>
      <c r="E82" s="271">
        <f>E81*'3. Assumptions'!$B$114</f>
        <v/>
      </c>
      <c r="F82" s="271">
        <f>F81*'3. Assumptions'!$B$114</f>
        <v/>
      </c>
      <c r="G82" s="271">
        <f>G81*'3. Assumptions'!$B$114</f>
        <v/>
      </c>
      <c r="H82" s="110">
        <f>SUM(C82:G82)</f>
        <v/>
      </c>
    </row>
    <row r="83">
      <c r="B83" t="inlineStr">
        <is>
          <t xml:space="preserve">  Integrate (integrations)</t>
        </is>
      </c>
      <c r="C83" s="130" t="n">
        <v>22</v>
      </c>
      <c r="D83" s="130" t="n">
        <v>38</v>
      </c>
      <c r="E83" s="130" t="n">
        <v>71</v>
      </c>
      <c r="F83" s="130" t="n">
        <v>103</v>
      </c>
      <c r="G83" s="130" t="n">
        <v>120</v>
      </c>
    </row>
    <row r="84" hidden="1" s="277">
      <c r="B84" s="126" t="inlineStr">
        <is>
          <t xml:space="preserve">    revenue ($, net)</t>
        </is>
      </c>
      <c r="C84" s="271">
        <f>C83*'3. Assumptions'!$B$115</f>
        <v/>
      </c>
      <c r="D84" s="271">
        <f>D83*'3. Assumptions'!$B$115</f>
        <v/>
      </c>
      <c r="E84" s="271">
        <f>E83*'3. Assumptions'!$B$115</f>
        <v/>
      </c>
      <c r="F84" s="271">
        <f>F83*'3. Assumptions'!$B$115</f>
        <v/>
      </c>
      <c r="G84" s="271">
        <f>G83*'3. Assumptions'!$B$115</f>
        <v/>
      </c>
      <c r="H84" s="110">
        <f>SUM(C84:G84)</f>
        <v/>
      </c>
    </row>
    <row r="85">
      <c r="B85" t="inlineStr">
        <is>
          <t xml:space="preserve">  Booking Sites (bundle: 1× Cloud S license + 2.5% txn fee)</t>
        </is>
      </c>
      <c r="C85" s="216" t="n">
        <v>42</v>
      </c>
      <c r="D85" s="216" t="n">
        <v>111</v>
      </c>
      <c r="E85" s="216" t="n">
        <v>298</v>
      </c>
      <c r="F85" s="216" t="n">
        <v>511</v>
      </c>
      <c r="G85" s="216">
        <f>ROUND(G71*0.3,0)</f>
        <v/>
      </c>
    </row>
    <row r="86" hidden="1" s="277">
      <c r="B86" s="126" t="inlineStr">
        <is>
          <t xml:space="preserve">    revenue ($, net) — license + txn</t>
        </is>
      </c>
      <c r="C86" s="217">
        <f>C85*('3. Assumptions'!$B$5*(1-'3. Assumptions'!$B$21)+100*'3. Assumptions'!$B$16*'3. Assumptions'!$B$15)</f>
        <v/>
      </c>
      <c r="D86" s="217">
        <f>D85*('3. Assumptions'!$B$5*(1-'3. Assumptions'!$B$21)+150*'3. Assumptions'!$B$16*'3. Assumptions'!$B$15)</f>
        <v/>
      </c>
      <c r="E86" s="217">
        <f>E85*('3. Assumptions'!$B$5*(1-'3. Assumptions'!$B$21)+200*'3. Assumptions'!$B$16*'3. Assumptions'!$B$15)</f>
        <v/>
      </c>
      <c r="F86" s="217">
        <f>F85*('3. Assumptions'!$B$5*(1-'3. Assumptions'!$B$21)+250*'3. Assumptions'!$B$16*'3. Assumptions'!$B$15)</f>
        <v/>
      </c>
      <c r="G86" s="217">
        <f>G85*('3. Assumptions'!$B$5*(1-'3. Assumptions'!$B$21)+300*'3. Assumptions'!$B$16*'3. Assumptions'!$B$15)</f>
        <v/>
      </c>
      <c r="H86" s="110">
        <f>SUM(C86:G86)</f>
        <v/>
      </c>
    </row>
    <row r="87">
      <c r="B87" s="274" t="inlineStr">
        <is>
          <t xml:space="preserve">  ACaaS sites (or Alt: digital locks + integrations @ 65% — see B6 toggle)</t>
        </is>
      </c>
      <c r="C87" s="275">
        <f>IF('2. Dashboard'!$B$6="Yes",54,54*'3. Assumptions'!$B$94)</f>
        <v/>
      </c>
      <c r="D87" s="275">
        <f>IF('2. Dashboard'!$B$6="Yes",163,163*'3. Assumptions'!$B$94)</f>
        <v/>
      </c>
      <c r="E87" s="275">
        <f>IF('2. Dashboard'!$B$6="Yes",517,517*'3. Assumptions'!$B$94)</f>
        <v/>
      </c>
      <c r="F87" s="275">
        <f>IF('2. Dashboard'!$B$6="Yes",953,953*'3. Assumptions'!$B$94)</f>
        <v/>
      </c>
      <c r="G87" s="275">
        <f>IF('2. Dashboard'!$B$6="Yes",1906,1906*'3. Assumptions'!$B$94)</f>
        <v/>
      </c>
    </row>
    <row r="88" hidden="1" s="277">
      <c r="B88" s="126" t="inlineStr">
        <is>
          <t xml:space="preserve">    revenue ($, net)</t>
        </is>
      </c>
      <c r="C88" s="271">
        <f>C87*'3. Assumptions'!$B$116</f>
        <v/>
      </c>
      <c r="D88" s="271">
        <f>D87*'3. Assumptions'!$B$116</f>
        <v/>
      </c>
      <c r="E88" s="271">
        <f>E87*'3. Assumptions'!$B$116</f>
        <v/>
      </c>
      <c r="F88" s="271">
        <f>F87*'3. Assumptions'!$B$116</f>
        <v/>
      </c>
      <c r="G88" s="271">
        <f>G87*'3. Assumptions'!$B$116</f>
        <v/>
      </c>
      <c r="H88" s="110">
        <f>SUM(C88:G88)</f>
        <v/>
      </c>
    </row>
    <row r="89">
      <c r="B89" s="131" t="inlineStr">
        <is>
          <t>SaaS Subtotal (new sites, excl. Y0 retention, excl. ACaaS)</t>
        </is>
      </c>
      <c r="C89" s="132">
        <f>C76+C78+C80+C82+C84+C86</f>
        <v/>
      </c>
      <c r="D89" s="132">
        <f>D76+D78+D80+D82+D84+D86</f>
        <v/>
      </c>
      <c r="E89" s="132">
        <f>E76+E78+E80+E82+E84+E86</f>
        <v/>
      </c>
      <c r="F89" s="132">
        <f>F76+F78+F80+F82+F84+F86</f>
        <v/>
      </c>
      <c r="G89" s="132">
        <f>G76+G78+G80+G82+G84+G86</f>
        <v/>
      </c>
      <c r="H89" s="132">
        <f>SUM(C89:G89)</f>
        <v/>
      </c>
    </row>
    <row r="90">
      <c r="B90" s="246" t="inlineStr">
        <is>
          <t xml:space="preserve">  Total Retained ARR Base (incl. all prior cohorts, after churn &amp; uplift)</t>
        </is>
      </c>
      <c r="C90" s="247">
        <f>'3. Assumptions'!$B$41*(1-'3. Assumptions'!$B$35)*(1+'3. Assumptions'!$B$37)</f>
        <v/>
      </c>
      <c r="D90" s="247">
        <f>(C90+C89+C88)*(1-'3. Assumptions'!$B$35)*(1+'3. Assumptions'!$B$37)</f>
        <v/>
      </c>
      <c r="E90" s="247">
        <f>(D90+D89+D88)*(1-'3. Assumptions'!$B$35)*(1+'3. Assumptions'!$B$37)</f>
        <v/>
      </c>
      <c r="F90" s="247">
        <f>(E90+E89+E88)*(1-'3. Assumptions'!$B$35)*(1+'3. Assumptions'!$B$37)</f>
        <v/>
      </c>
      <c r="G90" s="247">
        <f>(F90+F89+F88)*(1-'3. Assumptions'!$B$35)*(1+'3. Assumptions'!$B$37)</f>
        <v/>
      </c>
    </row>
    <row r="91">
      <c r="B91" s="157" t="inlineStr">
        <is>
          <t>HARDWARE PRODUCTS  (units + revenue)</t>
        </is>
      </c>
      <c r="C91" s="157" t="n"/>
      <c r="D91" s="157" t="n"/>
      <c r="E91" s="157" t="n"/>
      <c r="F91" s="157" t="n"/>
      <c r="G91" s="157" t="n"/>
      <c r="H91" s="157" t="n"/>
    </row>
    <row r="92">
      <c r="B92" s="55" t="inlineStr">
        <is>
          <t xml:space="preserve">  HW Locks (base + 1 lock per booking site)</t>
        </is>
      </c>
      <c r="C92" s="219">
        <f>2728+C85*'3. Assumptions'!$B$19</f>
        <v/>
      </c>
      <c r="D92" s="219">
        <f>5777+D85*'3. Assumptions'!$B$19</f>
        <v/>
      </c>
      <c r="E92" s="219">
        <f>8505+E85*'3. Assumptions'!$B$19</f>
        <v/>
      </c>
      <c r="F92" s="219">
        <f>13533+F85*'3. Assumptions'!$B$19</f>
        <v/>
      </c>
      <c r="G92" s="219">
        <f>21665+G85*'3. Assumptions'!$B$19</f>
        <v/>
      </c>
    </row>
    <row r="93" hidden="1" s="277">
      <c r="B93" s="158" t="inlineStr">
        <is>
          <t xml:space="preserve">    revenue ($, gross)</t>
        </is>
      </c>
      <c r="C93" s="159">
        <f>C92*'3. Assumptions'!$B$18</f>
        <v/>
      </c>
      <c r="D93" s="159">
        <f>D92*'3. Assumptions'!$B$18</f>
        <v/>
      </c>
      <c r="E93" s="159">
        <f>E92*'3. Assumptions'!$B$18</f>
        <v/>
      </c>
      <c r="F93" s="159">
        <f>F92*'3. Assumptions'!$B$18</f>
        <v/>
      </c>
      <c r="G93" s="159">
        <f>G92*'3. Assumptions'!$B$18</f>
        <v/>
      </c>
      <c r="H93" s="110">
        <f>SUM(C93:G93)</f>
        <v/>
      </c>
    </row>
    <row r="94">
      <c r="B94" s="55" t="inlineStr">
        <is>
          <t xml:space="preserve">  HW Panels (panels)</t>
        </is>
      </c>
      <c r="C94" s="244">
        <f>IF('2. Dashboard'!$B$6="Yes",82,0)</f>
        <v/>
      </c>
      <c r="D94" s="244">
        <f>IF('2. Dashboard'!$B$6="Yes",163,0)</f>
        <v/>
      </c>
      <c r="E94" s="244">
        <f>IF('2. Dashboard'!$B$6="Yes",531,0)</f>
        <v/>
      </c>
      <c r="F94" s="244">
        <f>IF('2. Dashboard'!$B$6="Yes",653,0)</f>
        <v/>
      </c>
      <c r="G94" s="244">
        <f>IF('2. Dashboard'!$B$6="Yes",1429,0)</f>
        <v/>
      </c>
    </row>
    <row r="95" hidden="1" s="277">
      <c r="B95" s="158" t="inlineStr">
        <is>
          <t xml:space="preserve">    revenue ($, gross)</t>
        </is>
      </c>
      <c r="C95" s="271">
        <f>C94*'3. Assumptions'!$B$117</f>
        <v/>
      </c>
      <c r="D95" s="271">
        <f>D94*'3. Assumptions'!$B$117</f>
        <v/>
      </c>
      <c r="E95" s="271">
        <f>E94*'3. Assumptions'!$B$117</f>
        <v/>
      </c>
      <c r="F95" s="271">
        <f>F94*'3. Assumptions'!$B$117</f>
        <v/>
      </c>
      <c r="G95" s="271">
        <f>G94*'3. Assumptions'!$B$117</f>
        <v/>
      </c>
      <c r="H95" s="110">
        <f>SUM(C95:G95)</f>
        <v/>
      </c>
    </row>
    <row r="96">
      <c r="B96" s="131" t="inlineStr">
        <is>
          <t>Hardware Subtotal</t>
        </is>
      </c>
      <c r="C96" s="132">
        <f>C93+C95</f>
        <v/>
      </c>
      <c r="D96" s="132">
        <f>D93+D95</f>
        <v/>
      </c>
      <c r="E96" s="132">
        <f>E93+E95</f>
        <v/>
      </c>
      <c r="F96" s="132">
        <f>F93+F95</f>
        <v/>
      </c>
      <c r="G96" s="132">
        <f>G93+G95</f>
        <v/>
      </c>
      <c r="H96" s="132">
        <f>SUM(C96:G96)</f>
        <v/>
      </c>
    </row>
    <row r="98">
      <c r="B98" s="133" t="inlineStr">
        <is>
          <t>TOTAL REVENUE</t>
        </is>
      </c>
      <c r="C98" s="134">
        <f>C89+C96</f>
        <v/>
      </c>
      <c r="D98" s="134">
        <f>D89+D96</f>
        <v/>
      </c>
      <c r="E98" s="134">
        <f>E89+E96</f>
        <v/>
      </c>
      <c r="F98" s="134">
        <f>F89+F96</f>
        <v/>
      </c>
      <c r="G98" s="134">
        <f>G89+G96</f>
        <v/>
      </c>
      <c r="H98" s="134">
        <f>SUM(C98:G98)</f>
        <v/>
      </c>
    </row>
    <row r="102">
      <c r="B102" s="59" t="inlineStr">
        <is>
          <t>NOTES</t>
        </is>
      </c>
    </row>
    <row r="103">
      <c r="B103" s="280" t="inlineStr">
        <is>
          <t>PRICING NOTE:</t>
        </is>
      </c>
    </row>
    <row r="104">
      <c r="B104" s="276" t="inlineStr">
        <is>
          <t>All per-unit prices now read from Assumptions sheet DERIVED NET PRICES (B111-B118). Change once in Assumptions, propagates across all scenarios.</t>
        </is>
      </c>
    </row>
    <row r="105">
      <c r="B105" s="276" t="inlineStr">
        <is>
          <t>Active sites / new sites pulled from Revenue tab (driven by Growth Scenario inputs).</t>
        </is>
      </c>
    </row>
    <row r="106">
      <c r="B106" s="278" t="inlineStr">
        <is>
          <t xml:space="preserve">  Active sites / new sites pulled from Revenue tab (driven by Growth Scenario inputs in Assumptions).</t>
        </is>
      </c>
    </row>
    <row r="107">
      <c r="B107" s="278" t="inlineStr">
        <is>
          <t xml:space="preserve">  Edit any yellow unit cell to override the seeded value. Revenue updates instantly.</t>
        </is>
      </c>
    </row>
    <row r="108">
      <c r="B108" s="278" t="inlineStr">
        <is>
          <t xml:space="preserve">  SaaS Subtotal (excl ACaaS) and Hardware Subtotal flow into Revenue/P&amp;L per Dashboard scenario.</t>
        </is>
      </c>
    </row>
    <row r="109">
      <c r="B109" s="278" t="inlineStr">
        <is>
          <t xml:space="preserve">  ACaaS revenue stays on its existing pipeline (Revenue!C70) — listed here for visibility but not double-counted.</t>
        </is>
      </c>
    </row>
  </sheetData>
  <mergeCells count="9">
    <mergeCell ref="B105:H105"/>
    <mergeCell ref="B106:H106"/>
    <mergeCell ref="B109:H109"/>
    <mergeCell ref="B2:H2"/>
    <mergeCell ref="B104:H104"/>
    <mergeCell ref="B3:H3"/>
    <mergeCell ref="B103:H103"/>
    <mergeCell ref="B108:H108"/>
    <mergeCell ref="B107:H10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5"/>
  <sheetViews>
    <sheetView zoomScaleNormal="100" workbookViewId="0">
      <selection activeCell="D10" sqref="D10"/>
    </sheetView>
  </sheetViews>
  <sheetFormatPr baseColWidth="8" defaultColWidth="8.69140625" defaultRowHeight="14.6"/>
  <cols>
    <col width="35" customWidth="1" style="277" min="1" max="1"/>
    <col width="30" customWidth="1" style="277" min="2" max="2"/>
    <col width="15" customWidth="1" style="277" min="3" max="3"/>
    <col width="18" customWidth="1" style="277" min="4" max="4"/>
    <col width="16" customWidth="1" style="277" min="5" max="5"/>
    <col width="15" customWidth="1" style="277" min="6" max="8"/>
    <col width="18" customWidth="1" style="277" min="9" max="9"/>
  </cols>
  <sheetData>
    <row r="1" ht="21.75" customHeight="1" s="277">
      <c r="A1" s="41" t="inlineStr">
        <is>
          <t>PROFIT &amp; LOSS</t>
        </is>
      </c>
    </row>
    <row r="2" ht="15" customHeight="1" s="277">
      <c r="A2" s="42" t="inlineStr">
        <is>
          <t>Zezamii Cloud — SaaS &amp; Hardware Breakdown</t>
        </is>
      </c>
    </row>
    <row r="3">
      <c r="B3" s="201" t="inlineStr">
        <is>
          <t>Segment view:</t>
        </is>
      </c>
      <c r="C3" s="202" t="n"/>
      <c r="D3" s="203" t="inlineStr">
        <is>
          <t>Standard SaaS</t>
        </is>
      </c>
      <c r="E3" s="204" t="inlineStr">
        <is>
          <t>↓ jump to segment detail (rows 40-52)</t>
        </is>
      </c>
    </row>
    <row r="4" ht="15" customHeight="1" s="277">
      <c r="C4" s="20" t="inlineStr">
        <is>
          <t>Year 1</t>
        </is>
      </c>
      <c r="D4" s="20" t="inlineStr">
        <is>
          <t>Year 2</t>
        </is>
      </c>
      <c r="E4" s="20" t="inlineStr">
        <is>
          <t>Year 3</t>
        </is>
      </c>
      <c r="F4" s="20" t="inlineStr">
        <is>
          <t>Year 4</t>
        </is>
      </c>
      <c r="G4" s="20" t="inlineStr">
        <is>
          <t>Year 5</t>
        </is>
      </c>
      <c r="I4" s="20" t="inlineStr">
        <is>
          <t>5-Year Total</t>
        </is>
      </c>
    </row>
    <row r="5" ht="15.45" customHeight="1" s="277">
      <c r="B5" s="205">
        <f>D3 &amp; " selected:"</f>
        <v/>
      </c>
      <c r="C5" s="206">
        <f>IF($D$3="Combined",C27,IF($D$3="Standard SaaS",C8,IF($D$3="ACaaS",C9,C17)))</f>
        <v/>
      </c>
      <c r="D5" s="206">
        <f>IF($D$3="Combined",D27,IF($D$3="Standard SaaS",D8,IF($D$3="ACaaS",D9,D17)))</f>
        <v/>
      </c>
      <c r="E5" s="206">
        <f>IF($D$3="Combined",E27,IF($D$3="Standard SaaS",E8,IF($D$3="ACaaS",E9,E17)))</f>
        <v/>
      </c>
      <c r="F5" s="206">
        <f>IF($D$3="Combined",F27,IF($D$3="Standard SaaS",F8,IF($D$3="ACaaS",F9,F17)))</f>
        <v/>
      </c>
      <c r="G5" s="206">
        <f>IF($D$3="Combined",G27,IF($D$3="Standard SaaS",G8,IF($D$3="ACaaS",G9,G17)))</f>
        <v/>
      </c>
      <c r="H5" s="207">
        <f>SUM(C5:G5)</f>
        <v/>
      </c>
    </row>
    <row r="6" ht="15" customHeight="1" s="277">
      <c r="A6" s="43" t="inlineStr">
        <is>
          <t>SAAS BUSINESS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</row>
    <row r="7" ht="15" customHeight="1" s="277">
      <c r="A7" s="26" t="inlineStr">
        <is>
          <t>SaaS Revenue</t>
        </is>
      </c>
      <c r="C7" s="9">
        <f>C8+C9</f>
        <v/>
      </c>
      <c r="D7" s="9">
        <f>D8+D9</f>
        <v/>
      </c>
      <c r="E7" s="9">
        <f>E8+E9</f>
        <v/>
      </c>
      <c r="F7" s="9">
        <f>F8+F9</f>
        <v/>
      </c>
      <c r="G7" s="9">
        <f>G8+G9</f>
        <v/>
      </c>
      <c r="I7" s="9">
        <f>SUM(C7:G7)</f>
        <v/>
      </c>
    </row>
    <row r="8" ht="15" customHeight="1" s="277">
      <c r="A8" s="42" t="inlineStr">
        <is>
          <t xml:space="preserve">    Standard Cloud</t>
        </is>
      </c>
      <c r="C8" s="9">
        <f>Revenue!C25</f>
        <v/>
      </c>
      <c r="D8" s="9">
        <f>Revenue!D25</f>
        <v/>
      </c>
      <c r="E8" s="9">
        <f>Revenue!E25</f>
        <v/>
      </c>
      <c r="F8" s="9">
        <f>Revenue!F25</f>
        <v/>
      </c>
      <c r="G8" s="9">
        <f>Revenue!G25</f>
        <v/>
      </c>
      <c r="I8" s="9">
        <f>SUM(C8:G8)</f>
        <v/>
      </c>
    </row>
    <row r="9" ht="15" customHeight="1" s="277">
      <c r="A9" s="42" t="inlineStr">
        <is>
          <t xml:space="preserve">    ACaaS (Panel)</t>
        </is>
      </c>
      <c r="C9" s="9">
        <f>Revenue!C70</f>
        <v/>
      </c>
      <c r="D9" s="9">
        <f>Revenue!D70</f>
        <v/>
      </c>
      <c r="E9" s="9">
        <f>Revenue!E70</f>
        <v/>
      </c>
      <c r="F9" s="9">
        <f>Revenue!F70</f>
        <v/>
      </c>
      <c r="G9" s="9">
        <f>Revenue!G70</f>
        <v/>
      </c>
      <c r="I9" s="9">
        <f>SUM(C9:G9)</f>
        <v/>
      </c>
    </row>
    <row r="11" ht="15" customHeight="1" s="277">
      <c r="A11" t="inlineStr">
        <is>
          <t>SaaS Operating Costs</t>
        </is>
      </c>
      <c r="C11" s="9">
        <f>'Team Summary'!B22</f>
        <v/>
      </c>
      <c r="D11" s="9">
        <f>'Team Summary'!C22</f>
        <v/>
      </c>
      <c r="E11" s="9">
        <f>'Team Summary'!D22</f>
        <v/>
      </c>
      <c r="F11" s="9">
        <f>'Team Summary'!E22</f>
        <v/>
      </c>
      <c r="G11" s="9">
        <f>'Team Summary'!F22</f>
        <v/>
      </c>
      <c r="I11" s="9">
        <f>SUM(C11:G11)</f>
        <v/>
      </c>
    </row>
    <row r="13" ht="15" customHeight="1" s="277">
      <c r="A13" s="26" t="inlineStr">
        <is>
          <t>SaaS Contribution (Rev − SaaS Opex incl. team/infra)</t>
        </is>
      </c>
      <c r="C13" s="9">
        <f>C7-C11</f>
        <v/>
      </c>
      <c r="D13" s="9">
        <f>D7-D11</f>
        <v/>
      </c>
      <c r="E13" s="9">
        <f>E7-E11</f>
        <v/>
      </c>
      <c r="F13" s="9">
        <f>F7-F11</f>
        <v/>
      </c>
      <c r="G13" s="9">
        <f>G7-G11</f>
        <v/>
      </c>
      <c r="I13" s="9">
        <f>SUM(C13:G13)</f>
        <v/>
      </c>
    </row>
    <row r="14" ht="15" customHeight="1" s="277">
      <c r="A14" s="26" t="inlineStr">
        <is>
          <t>SaaS Contribution Margin %</t>
        </is>
      </c>
      <c r="C14" s="44">
        <f>IF(C7&gt;0,C13/C7,0)</f>
        <v/>
      </c>
      <c r="D14" s="44">
        <f>IF(D7&gt;0,D13/D7,0)</f>
        <v/>
      </c>
      <c r="E14" s="44">
        <f>IF(E7&gt;0,E13/E7,0)</f>
        <v/>
      </c>
      <c r="F14" s="44">
        <f>IF(F7&gt;0,F13/F7,0)</f>
        <v/>
      </c>
      <c r="G14" s="44">
        <f>IF(G7&gt;0,G13/G7,0)</f>
        <v/>
      </c>
      <c r="I14" s="44">
        <f>IF(I7&gt;0,I13/I7,0)</f>
        <v/>
      </c>
    </row>
    <row r="15">
      <c r="A15" s="249" t="inlineStr">
        <is>
          <t xml:space="preserve">   (Not pure SaaS gross margin — includes team/infra opex)</t>
        </is>
      </c>
    </row>
    <row r="16" ht="15" customHeight="1" s="277">
      <c r="A16" s="45" t="inlineStr">
        <is>
          <t>HARDWARE BUSINESS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15" customHeight="1" s="277">
      <c r="A17" s="30" t="inlineStr">
        <is>
          <t>Hardware Revenue</t>
        </is>
      </c>
      <c r="C17" s="9">
        <f>C18+C19</f>
        <v/>
      </c>
      <c r="D17" s="9">
        <f>D18+D19</f>
        <v/>
      </c>
      <c r="E17" s="9">
        <f>E18+E19</f>
        <v/>
      </c>
      <c r="F17" s="9">
        <f>F18+F19</f>
        <v/>
      </c>
      <c r="G17" s="9">
        <f>G18+G19</f>
        <v/>
      </c>
      <c r="I17" s="9">
        <f>SUM(C17:G17)</f>
        <v/>
      </c>
    </row>
    <row r="18" ht="15" customHeight="1" s="277">
      <c r="A18" s="42" t="inlineStr">
        <is>
          <t xml:space="preserve">    Lock Sales</t>
        </is>
      </c>
      <c r="C18" s="9">
        <f>Revenue!C82</f>
        <v/>
      </c>
      <c r="D18" s="9">
        <f>Revenue!D82</f>
        <v/>
      </c>
      <c r="E18" s="9">
        <f>Revenue!E82</f>
        <v/>
      </c>
      <c r="F18" s="9">
        <f>Revenue!F82</f>
        <v/>
      </c>
      <c r="G18" s="9">
        <f>Revenue!G82</f>
        <v/>
      </c>
      <c r="I18" s="9">
        <f>SUM(C18:G18)</f>
        <v/>
      </c>
    </row>
    <row r="19" ht="15" customHeight="1" s="277">
      <c r="A19" s="42" t="inlineStr">
        <is>
          <t xml:space="preserve">    Panel Sales</t>
        </is>
      </c>
      <c r="C19" s="9">
        <f>Revenue!C83</f>
        <v/>
      </c>
      <c r="D19" s="9">
        <f>Revenue!D83</f>
        <v/>
      </c>
      <c r="E19" s="9">
        <f>Revenue!E83</f>
        <v/>
      </c>
      <c r="F19" s="9">
        <f>Revenue!F83</f>
        <v/>
      </c>
      <c r="G19" s="9">
        <f>Revenue!G83</f>
        <v/>
      </c>
      <c r="I19" s="9">
        <f>SUM(C19:G19)</f>
        <v/>
      </c>
    </row>
    <row r="21" ht="15" customHeight="1" s="277">
      <c r="A21" t="inlineStr">
        <is>
          <t>Hardware COGS (= what Zezamii pays LSC, 75% of retail)</t>
        </is>
      </c>
      <c r="B21" t="inlineStr">
        <is>
          <t>Hardware COGS (= what Zezamii pays LSC, 75% of retail)</t>
        </is>
      </c>
      <c r="C21" s="9">
        <f>C17*'3. Assumptions'!$B$23</f>
        <v/>
      </c>
      <c r="D21" s="9">
        <f>D17*'3. Assumptions'!$B$23</f>
        <v/>
      </c>
      <c r="E21" s="9">
        <f>E17*'3. Assumptions'!$B$23</f>
        <v/>
      </c>
      <c r="F21" s="9">
        <f>F17*'3. Assumptions'!$B$23</f>
        <v/>
      </c>
      <c r="G21" s="9">
        <f>G17*'3. Assumptions'!$B$23</f>
        <v/>
      </c>
      <c r="I21" s="9">
        <f>SUM(C21:G21)</f>
        <v/>
      </c>
    </row>
    <row r="23" ht="15" customHeight="1" s="277">
      <c r="A23" s="30" t="inlineStr">
        <is>
          <t>Hardware Gross Profit</t>
        </is>
      </c>
      <c r="B23" t="inlineStr">
        <is>
          <t>Zezamii Hardware Gross Profit</t>
        </is>
      </c>
      <c r="C23" s="9">
        <f>C17-C21</f>
        <v/>
      </c>
      <c r="D23" s="9">
        <f>D17-D21</f>
        <v/>
      </c>
      <c r="E23" s="9">
        <f>E17-E21</f>
        <v/>
      </c>
      <c r="F23" s="9">
        <f>F17-F21</f>
        <v/>
      </c>
      <c r="G23" s="9">
        <f>G17-G21</f>
        <v/>
      </c>
      <c r="I23" s="9">
        <f>SUM(C23:G23)</f>
        <v/>
      </c>
    </row>
    <row r="24" ht="15" customHeight="1" s="277">
      <c r="A24" s="30" t="inlineStr">
        <is>
          <t>Hardware Gross Margin</t>
        </is>
      </c>
      <c r="B24" t="inlineStr">
        <is>
          <t>Zezamii Hardware Gross Margin %</t>
        </is>
      </c>
      <c r="C24" s="44">
        <f>IF(C17&gt;0,C23/C17,0)</f>
        <v/>
      </c>
      <c r="D24" s="44">
        <f>IF(D17&gt;0,D23/D17,0)</f>
        <v/>
      </c>
      <c r="E24" s="44">
        <f>IF(E17&gt;0,E23/E17,0)</f>
        <v/>
      </c>
      <c r="F24" s="44">
        <f>IF(F17&gt;0,F23/F17,0)</f>
        <v/>
      </c>
      <c r="G24" s="44">
        <f>IF(G17&gt;0,G23/G17,0)</f>
        <v/>
      </c>
      <c r="I24" s="44">
        <f>IF(I17&gt;0,I23/I17,0)</f>
        <v/>
      </c>
    </row>
    <row r="26" ht="15" customHeight="1" s="277">
      <c r="A26" s="31" t="inlineStr">
        <is>
          <t>COMBINED TOTALS</t>
        </is>
      </c>
      <c r="B26" s="46" t="n"/>
      <c r="C26" s="46" t="n"/>
      <c r="D26" s="46" t="n"/>
      <c r="E26" s="46" t="n"/>
      <c r="F26" s="46" t="n"/>
      <c r="G26" s="46" t="n"/>
      <c r="H26" s="46" t="n"/>
      <c r="I26" s="46" t="n"/>
    </row>
    <row r="27" ht="15" customHeight="1" s="277">
      <c r="A27" s="5" t="inlineStr">
        <is>
          <t>Total Revenue</t>
        </is>
      </c>
      <c r="C27" s="9">
        <f>C7+C17</f>
        <v/>
      </c>
      <c r="D27" s="9">
        <f>D7+D17</f>
        <v/>
      </c>
      <c r="E27" s="9">
        <f>E7+E17</f>
        <v/>
      </c>
      <c r="F27" s="9">
        <f>F7+F17</f>
        <v/>
      </c>
      <c r="G27" s="9">
        <f>G7+G17</f>
        <v/>
      </c>
      <c r="I27" s="9">
        <f>SUM(C27:G27)</f>
        <v/>
      </c>
    </row>
    <row r="28" ht="15" customHeight="1" s="277">
      <c r="A28" s="5" t="inlineStr">
        <is>
          <t>Total Costs</t>
        </is>
      </c>
      <c r="C28" s="9">
        <f>C11+C21</f>
        <v/>
      </c>
      <c r="D28" s="9">
        <f>D11+D21</f>
        <v/>
      </c>
      <c r="E28" s="9">
        <f>E11+E21</f>
        <v/>
      </c>
      <c r="F28" s="9">
        <f>F11+F21</f>
        <v/>
      </c>
      <c r="G28" s="9">
        <f>G11+G21</f>
        <v/>
      </c>
      <c r="I28" s="9">
        <f>SUM(C28:G28)</f>
        <v/>
      </c>
    </row>
    <row r="30" ht="15" customHeight="1" s="277">
      <c r="A30" s="5" t="inlineStr">
        <is>
          <t>Total Gross Profit</t>
        </is>
      </c>
      <c r="C30" s="9">
        <f>C13+C23</f>
        <v/>
      </c>
      <c r="D30" s="9">
        <f>D13+D23</f>
        <v/>
      </c>
      <c r="E30" s="9">
        <f>E13+E23</f>
        <v/>
      </c>
      <c r="F30" s="9">
        <f>F13+F23</f>
        <v/>
      </c>
      <c r="G30" s="9">
        <f>G13+G23</f>
        <v/>
      </c>
      <c r="I30" s="9">
        <f>SUM(C30:G30)</f>
        <v/>
      </c>
    </row>
    <row r="31" ht="15" customHeight="1" s="277">
      <c r="A31" s="5" t="inlineStr">
        <is>
          <t>Blended Gross Margin</t>
        </is>
      </c>
      <c r="C31" s="44">
        <f>IF(C27&gt;0,C30/C27,0)</f>
        <v/>
      </c>
      <c r="D31" s="44">
        <f>IF(D27&gt;0,D30/D27,0)</f>
        <v/>
      </c>
      <c r="E31" s="44">
        <f>IF(E27&gt;0,E30/E27,0)</f>
        <v/>
      </c>
      <c r="F31" s="44">
        <f>IF(F27&gt;0,F30/F27,0)</f>
        <v/>
      </c>
      <c r="G31" s="44">
        <f>IF(G27&gt;0,G30/G27,0)</f>
        <v/>
      </c>
      <c r="I31" s="44">
        <f>IF(I27&gt;0,I30/I27,0)</f>
        <v/>
      </c>
    </row>
    <row r="33" ht="15" customHeight="1" s="277">
      <c r="A33" s="1" t="inlineStr">
        <is>
          <t>KEY METRICS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15" customHeight="1" s="277">
      <c r="A34" t="inlineStr">
        <is>
          <t>SaaS ARR Growth</t>
        </is>
      </c>
      <c r="C34" s="44" t="n"/>
      <c r="D34" s="44">
        <f>IF(C7&gt;0,(D7-C7)/C7,0)</f>
        <v/>
      </c>
      <c r="E34" s="44">
        <f>IF(D7&gt;0,(E7-D7)/D7,0)</f>
        <v/>
      </c>
      <c r="F34" s="44">
        <f>IF(E7&gt;0,(F7-E7)/E7,0)</f>
        <v/>
      </c>
      <c r="G34" s="44">
        <f>IF(F7&gt;0,(G7-F7)/F7,0)</f>
        <v/>
      </c>
      <c r="I34" s="44" t="n"/>
    </row>
    <row r="35" ht="15" customHeight="1" s="277">
      <c r="A35" t="inlineStr">
        <is>
          <t>SaaS % of Revenue</t>
        </is>
      </c>
      <c r="C35" s="44">
        <f>IF(C27&gt;0,C7/C27,0)</f>
        <v/>
      </c>
      <c r="D35" s="44">
        <f>IF(D27&gt;0,D7/D27,0)</f>
        <v/>
      </c>
      <c r="E35" s="44">
        <f>IF(E27&gt;0,E7/E27,0)</f>
        <v/>
      </c>
      <c r="F35" s="44">
        <f>IF(F27&gt;0,F7/F27,0)</f>
        <v/>
      </c>
      <c r="G35" s="44">
        <f>IF(G27&gt;0,G7/G27,0)</f>
        <v/>
      </c>
      <c r="I35" s="44" t="n"/>
    </row>
    <row r="36" ht="15" customHeight="1" s="277">
      <c r="A36" t="inlineStr">
        <is>
          <t>SaaS % of Gross Profit</t>
        </is>
      </c>
      <c r="C36" s="44">
        <f>IF(C30&gt;0,C13/C30,0)</f>
        <v/>
      </c>
      <c r="D36" s="44">
        <f>IF(D30&gt;0,D13/D30,0)</f>
        <v/>
      </c>
      <c r="E36" s="44">
        <f>IF(E30&gt;0,E13/E30,0)</f>
        <v/>
      </c>
      <c r="F36" s="44">
        <f>IF(F30&gt;0,F13/F30,0)</f>
        <v/>
      </c>
      <c r="G36" s="44">
        <f>IF(G30&gt;0,G13/G30,0)</f>
        <v/>
      </c>
      <c r="I36" s="44" t="n"/>
    </row>
    <row r="37" ht="15" customHeight="1" s="277">
      <c r="A37" t="inlineStr">
        <is>
          <t>Cumulative Profit</t>
        </is>
      </c>
      <c r="C37" s="9">
        <f>C30</f>
        <v/>
      </c>
      <c r="D37" s="9">
        <f>C37+D30</f>
        <v/>
      </c>
      <c r="E37" s="9">
        <f>D37+E30</f>
        <v/>
      </c>
      <c r="F37" s="9">
        <f>E37+F30</f>
        <v/>
      </c>
      <c r="G37" s="9">
        <f>F37+G30</f>
        <v/>
      </c>
      <c r="I37" s="9" t="n"/>
    </row>
    <row r="40" ht="15.45" customHeight="1" s="277">
      <c r="B40" s="208" t="inlineStr">
        <is>
          <t>↓ SEGMENT DETAIL — same data as row 5 inline summary, with cost + contribution</t>
        </is>
      </c>
      <c r="C40" s="209" t="n"/>
      <c r="D40" s="209" t="n"/>
      <c r="E40" s="209" t="n"/>
      <c r="F40" s="209" t="n"/>
      <c r="G40" s="209" t="n"/>
      <c r="H40" s="210" t="n"/>
    </row>
    <row r="41">
      <c r="B41" s="194">
        <f>IF(D3="Combined","COMBINED P&amp;L — true blended view. Revenue includes all three lines; costs include SaaS opex (R11) and HW COGS (R21).","Operating costs (team, infra, founder time) are SHARED across SaaS lines and cannot be cleanly split. Hardware has real COGS (35%). See main P&amp;L for combined view.")</f>
        <v/>
      </c>
      <c r="C41" s="188" t="n"/>
      <c r="D41" s="188" t="n"/>
      <c r="E41" s="188" t="n"/>
      <c r="F41" s="188" t="n"/>
      <c r="G41" s="188" t="n"/>
    </row>
    <row r="42">
      <c r="B42" s="188" t="n"/>
      <c r="C42" s="188" t="n"/>
      <c r="D42" s="188" t="n"/>
      <c r="E42" s="188" t="n"/>
      <c r="F42" s="188" t="n"/>
      <c r="G42" s="188" t="n"/>
    </row>
    <row r="43">
      <c r="B43" s="211" t="n"/>
      <c r="C43" s="212" t="inlineStr">
        <is>
          <t>Year 1</t>
        </is>
      </c>
      <c r="D43" s="212" t="inlineStr">
        <is>
          <t>Year 2</t>
        </is>
      </c>
      <c r="E43" s="212" t="inlineStr">
        <is>
          <t>Year 3</t>
        </is>
      </c>
      <c r="F43" s="212" t="inlineStr">
        <is>
          <t>Year 4</t>
        </is>
      </c>
      <c r="G43" s="212" t="inlineStr">
        <is>
          <t>Year 5</t>
        </is>
      </c>
      <c r="H43" s="212" t="inlineStr">
        <is>
          <t>5-Yr Total</t>
        </is>
      </c>
    </row>
    <row r="44">
      <c r="B44" s="189" t="inlineStr">
        <is>
          <t>Revenue</t>
        </is>
      </c>
      <c r="C44" s="190">
        <f>IF($D$3="Combined",C27,IF($D$3="Standard SaaS",C8,IF($D$3="ACaaS",C9,C17)))</f>
        <v/>
      </c>
      <c r="D44" s="190">
        <f>IF($D$3="Combined",D27,IF($D$3="Standard SaaS",D8,IF($D$3="ACaaS",D9,D17)))</f>
        <v/>
      </c>
      <c r="E44" s="190">
        <f>IF($D$3="Combined",E27,IF($D$3="Standard SaaS",E8,IF($D$3="ACaaS",E9,E17)))</f>
        <v/>
      </c>
      <c r="F44" s="190">
        <f>IF($D$3="Combined",F27,IF($D$3="Standard SaaS",F8,IF($D$3="ACaaS",F9,F17)))</f>
        <v/>
      </c>
      <c r="G44" s="190">
        <f>IF($D$3="Combined",G27,IF($D$3="Standard SaaS",G8,IF($D$3="ACaaS",G9,G17)))</f>
        <v/>
      </c>
      <c r="H44" s="181">
        <f>SUM(C44:G44)</f>
        <v/>
      </c>
    </row>
    <row r="45">
      <c r="B45" s="191" t="inlineStr">
        <is>
          <t xml:space="preserve">  % of total business</t>
        </is>
      </c>
      <c r="C45" s="192">
        <f>IFERROR(C44/C27,0)</f>
        <v/>
      </c>
      <c r="D45" s="192">
        <f>IFERROR(D44/D27,0)</f>
        <v/>
      </c>
      <c r="E45" s="192">
        <f>IFERROR(E44/E27,0)</f>
        <v/>
      </c>
      <c r="F45" s="192">
        <f>IFERROR(F44/F27,0)</f>
        <v/>
      </c>
      <c r="G45" s="192">
        <f>IFERROR(G44/G27,0)</f>
        <v/>
      </c>
      <c r="H45" s="193">
        <f>IFERROR(H44/SUM(C27:G27),0)</f>
        <v/>
      </c>
    </row>
    <row r="46">
      <c r="B46" s="188" t="n"/>
      <c r="C46" s="188" t="n"/>
      <c r="D46" s="188" t="n"/>
      <c r="E46" s="188" t="n"/>
      <c r="F46" s="188" t="n"/>
      <c r="G46" s="188" t="n"/>
    </row>
    <row r="47">
      <c r="B47" s="189">
        <f>IF(D3="Combined","Total Costs (SaaS opex + HW COGS)",IF(D3="Hardware","Hardware COGS (35%)","Directly attributable cost"))</f>
        <v/>
      </c>
      <c r="C47" s="190">
        <f>IF($D$3="Combined",C28,IF($D$3="Hardware",C21,0))</f>
        <v/>
      </c>
      <c r="D47" s="190">
        <f>IF($D$3="Combined",D28,IF($D$3="Hardware",D21,0))</f>
        <v/>
      </c>
      <c r="E47" s="190">
        <f>IF($D$3="Combined",E28,IF($D$3="Hardware",E21,0))</f>
        <v/>
      </c>
      <c r="F47" s="190">
        <f>IF($D$3="Combined",F28,IF($D$3="Hardware",F21,0))</f>
        <v/>
      </c>
      <c r="G47" s="190">
        <f>IF($D$3="Combined",G28,IF($D$3="Hardware",G21,0))</f>
        <v/>
      </c>
      <c r="H47" s="181">
        <f>SUM(C47:G47)</f>
        <v/>
      </c>
    </row>
    <row r="48">
      <c r="B48" s="195">
        <f>IF(D3="Combined","",IF(D3="Hardware","",IF(OR(D3="Standard SaaS",D3="ACaaS"),"   (SaaS opex is global — see row 11 for combined SaaS opex)","")))</f>
        <v/>
      </c>
      <c r="C48" s="188" t="n"/>
      <c r="D48" s="188" t="n"/>
      <c r="E48" s="188" t="n"/>
      <c r="F48" s="188" t="n"/>
      <c r="G48" s="188" t="n"/>
    </row>
    <row r="49">
      <c r="B49" s="188" t="n"/>
      <c r="C49" s="188" t="n"/>
      <c r="D49" s="188" t="n"/>
      <c r="E49" s="188" t="n"/>
      <c r="F49" s="188" t="n"/>
      <c r="G49" s="188" t="n"/>
    </row>
    <row r="50">
      <c r="B50" s="189">
        <f>IF(D3="Combined","Gross Profit","Contribution before global opex")</f>
        <v/>
      </c>
      <c r="C50" s="196">
        <f>C44-C47</f>
        <v/>
      </c>
      <c r="D50" s="196">
        <f>D44-D47</f>
        <v/>
      </c>
      <c r="E50" s="196">
        <f>E44-E47</f>
        <v/>
      </c>
      <c r="F50" s="196">
        <f>F44-F47</f>
        <v/>
      </c>
      <c r="G50" s="196">
        <f>G44-G47</f>
        <v/>
      </c>
      <c r="H50" s="197">
        <f>SUM(C50:G50)</f>
        <v/>
      </c>
    </row>
    <row r="51">
      <c r="B51" s="198">
        <f>IF(D3="Combined","Blended Gross Margin %",IF(D3="Hardware","Hardware Gross Margin %","Segment GM% n/a — opex is global"))</f>
        <v/>
      </c>
      <c r="C51" s="199">
        <f>IF(OR($D$3="Combined",$D$3="Hardware"),IFERROR(C50/C44,0),"")</f>
        <v/>
      </c>
      <c r="D51" s="199">
        <f>IF(OR($D$3="Combined",$D$3="Hardware"),IFERROR(D50/D44,0),"")</f>
        <v/>
      </c>
      <c r="E51" s="199">
        <f>IF(OR($D$3="Combined",$D$3="Hardware"),IFERROR(E50/E44,0),"")</f>
        <v/>
      </c>
      <c r="F51" s="199">
        <f>IF(OR($D$3="Combined",$D$3="Hardware"),IFERROR(F50/F44,0),"")</f>
        <v/>
      </c>
      <c r="G51" s="199">
        <f>IF(OR($D$3="Combined",$D$3="Hardware"),IFERROR(G50/G44,0),"")</f>
        <v/>
      </c>
      <c r="H51" s="199">
        <f>IF(OR(D3="Combined",D3="Hardware"),IFERROR(H50/H44,0),"")</f>
        <v/>
      </c>
    </row>
    <row r="52">
      <c r="B52" s="200" t="inlineStr">
        <is>
          <t>How to read: pick segment or "Combined" at D3. Combined gives the true P&amp;L (Revenue R27, Costs R28, GP R30, Blended GM R31). Single segments show only what is directly attributable; SaaS opex is global and cannot be cleanly split.</t>
        </is>
      </c>
    </row>
    <row r="55" ht="15.45" customHeight="1" s="277">
      <c r="B55" s="221" t="inlineStr">
        <is>
          <t>HARDWARE MARGIN DECOMPOSITION — who gets what</t>
        </is>
      </c>
    </row>
    <row r="56">
      <c r="B56" s="232" t="inlineStr">
        <is>
          <t>Zezamii keeps 25% (definite). LSC + Mfr Combined = 75% (what Zezamii pays LSC).</t>
        </is>
      </c>
    </row>
    <row r="58">
      <c r="B58" s="222" t="inlineStr">
        <is>
          <t>Party</t>
        </is>
      </c>
      <c r="C58" s="222" t="inlineStr">
        <is>
          <t>Y1</t>
        </is>
      </c>
      <c r="D58" s="222" t="inlineStr">
        <is>
          <t>Y2</t>
        </is>
      </c>
      <c r="E58" s="222" t="inlineStr">
        <is>
          <t>Y3</t>
        </is>
      </c>
      <c r="F58" s="222" t="inlineStr">
        <is>
          <t>Y4</t>
        </is>
      </c>
      <c r="G58" s="222" t="inlineStr">
        <is>
          <t>Y5</t>
        </is>
      </c>
      <c r="H58" s="222" t="inlineStr">
        <is>
          <t>5-Yr Total</t>
        </is>
      </c>
      <c r="I58" s="222" t="inlineStr">
        <is>
          <t>% of Retail</t>
        </is>
      </c>
    </row>
    <row r="59">
      <c r="B59" s="223" t="inlineStr">
        <is>
          <t>Retail Hardware Revenue</t>
        </is>
      </c>
      <c r="C59" s="181">
        <f>C17</f>
        <v/>
      </c>
      <c r="D59" s="181">
        <f>D17</f>
        <v/>
      </c>
      <c r="E59" s="181">
        <f>E17</f>
        <v/>
      </c>
      <c r="F59" s="181">
        <f>F17</f>
        <v/>
      </c>
      <c r="G59" s="181">
        <f>G17</f>
        <v/>
      </c>
      <c r="H59" s="181">
        <f>SUM(C59:G59)</f>
        <v/>
      </c>
      <c r="I59" s="44" t="n">
        <v>1</v>
      </c>
    </row>
    <row r="60">
      <c r="B60" s="233" t="inlineStr">
        <is>
          <t xml:space="preserve">  LSC + Mfr Combined (paid to LSC by Zezamii)</t>
        </is>
      </c>
      <c r="C60" s="234">
        <f>C17*'3. Assumptions'!$B$23</f>
        <v/>
      </c>
      <c r="D60" s="234">
        <f>D17*'3. Assumptions'!$B$23</f>
        <v/>
      </c>
      <c r="E60" s="234">
        <f>E17*'3. Assumptions'!$B$23</f>
        <v/>
      </c>
      <c r="F60" s="234">
        <f>F17*'3. Assumptions'!$B$23</f>
        <v/>
      </c>
      <c r="G60" s="234">
        <f>G17*'3. Assumptions'!$B$23</f>
        <v/>
      </c>
      <c r="H60" s="235">
        <f>SUM(C60:G60)</f>
        <v/>
      </c>
      <c r="I60" s="236">
        <f>'3. Assumptions'!B23</f>
        <v/>
      </c>
    </row>
    <row r="61">
      <c r="B61" s="237" t="n"/>
      <c r="C61" s="237" t="n"/>
      <c r="D61" s="237" t="n"/>
      <c r="E61" s="237" t="n"/>
      <c r="F61" s="237" t="n"/>
      <c r="G61" s="237" t="n"/>
      <c r="H61" s="237" t="n"/>
      <c r="I61" s="237" t="n"/>
    </row>
    <row r="62">
      <c r="B62" s="238" t="inlineStr">
        <is>
          <t xml:space="preserve">  Zezamii Hardware Margin (definite)</t>
        </is>
      </c>
      <c r="C62" s="239">
        <f>C17*'3. Assumptions'!$B$22</f>
        <v/>
      </c>
      <c r="D62" s="239">
        <f>D17*'3. Assumptions'!$B$22</f>
        <v/>
      </c>
      <c r="E62" s="239">
        <f>E17*'3. Assumptions'!$B$22</f>
        <v/>
      </c>
      <c r="F62" s="239">
        <f>F17*'3. Assumptions'!$B$22</f>
        <v/>
      </c>
      <c r="G62" s="239">
        <f>G17*'3. Assumptions'!$B$22</f>
        <v/>
      </c>
      <c r="H62" s="239">
        <f>SUM(C62:G62)</f>
        <v/>
      </c>
      <c r="I62" s="240">
        <f>'3. Assumptions'!B22</f>
        <v/>
      </c>
    </row>
    <row r="63">
      <c r="B63" s="230" t="inlineStr">
        <is>
          <t xml:space="preserve">  Tie-out (Combined + Zezamii vs Retail)</t>
        </is>
      </c>
      <c r="C63" s="241">
        <f>C60+C62-C59</f>
        <v/>
      </c>
      <c r="D63" s="241">
        <f>D60+D62-D59</f>
        <v/>
      </c>
      <c r="E63" s="241">
        <f>E60+E62-E59</f>
        <v/>
      </c>
      <c r="F63" s="241">
        <f>F60+F62-F59</f>
        <v/>
      </c>
      <c r="G63" s="241">
        <f>G60+G62-G59</f>
        <v/>
      </c>
      <c r="H63" s="241">
        <f>SUM(C63:G63)</f>
        <v/>
      </c>
    </row>
    <row r="64">
      <c r="B64" s="237" t="n"/>
      <c r="C64" s="237" t="n"/>
      <c r="D64" s="237" t="n"/>
      <c r="E64" s="237" t="n"/>
      <c r="F64" s="237" t="n"/>
      <c r="G64" s="237" t="n"/>
      <c r="H64" s="237" t="n"/>
      <c r="I64" s="237" t="n"/>
    </row>
    <row r="65">
      <c r="B65" s="249" t="inlineStr">
        <is>
          <t>Zezamii P&amp;L view: HW Revenue (R17, retail) − HW COGS (R21, 75% paid to LSC) = HW GP (R23, 25% Zezamii). LSC/Mfr split within the 75% is not modeled.</t>
        </is>
      </c>
    </row>
  </sheetData>
  <dataValidations count="1">
    <dataValidation sqref="D3" showDropDown="0" showInputMessage="0" showErrorMessage="0" allowBlank="0" type="list">
      <formula1>"Standard SaaS,ACaaS,Hardware,Combined"</formula1>
    </dataValidation>
  </dataValidations>
  <hyperlinks>
    <hyperlink ref="E3" location="'5. P&amp;L'!B40" display="↓ jump to segment detail (rows 40-52)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zoomScaleNormal="100" workbookViewId="0">
      <selection activeCell="K9" sqref="K9"/>
    </sheetView>
  </sheetViews>
  <sheetFormatPr baseColWidth="8" defaultColWidth="8.69140625" defaultRowHeight="14.6"/>
  <cols>
    <col width="30" customWidth="1" style="277" min="1" max="1"/>
    <col width="3" customWidth="1" style="277" min="2" max="2"/>
    <col width="14" customWidth="1" style="277" min="3" max="7"/>
    <col width="3" customWidth="1" style="277" min="8" max="8"/>
    <col width="16" customWidth="1" style="277" min="9" max="9"/>
  </cols>
  <sheetData>
    <row r="1" ht="21.75" customHeight="1" s="277">
      <c r="A1" s="41" t="inlineStr">
        <is>
          <t>CASH FLOW STATEMENT</t>
        </is>
      </c>
    </row>
    <row r="2" ht="15" customHeight="1" s="277">
      <c r="A2" s="42" t="inlineStr">
        <is>
          <t>Zezamii Cloud — SaaS &amp; Hardware Breakdown</t>
        </is>
      </c>
    </row>
    <row r="4" ht="15" customHeight="1" s="277">
      <c r="C4" s="20" t="inlineStr">
        <is>
          <t>Year 1</t>
        </is>
      </c>
      <c r="D4" s="20" t="inlineStr">
        <is>
          <t>Year 2</t>
        </is>
      </c>
      <c r="E4" s="20" t="inlineStr">
        <is>
          <t>Year 3</t>
        </is>
      </c>
      <c r="F4" s="20" t="inlineStr">
        <is>
          <t>Year 4</t>
        </is>
      </c>
      <c r="G4" s="20" t="inlineStr">
        <is>
          <t>Year 5</t>
        </is>
      </c>
      <c r="I4" s="20" t="inlineStr">
        <is>
          <t>Total</t>
        </is>
      </c>
    </row>
    <row r="6" ht="15" customHeight="1" s="277">
      <c r="A6" s="31" t="inlineStr">
        <is>
          <t>OPENING POSITION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</row>
    <row r="7" ht="15" customHeight="1" s="277">
      <c r="A7" t="inlineStr">
        <is>
          <t>Opening Cash</t>
        </is>
      </c>
      <c r="C7" s="9" t="n">
        <v>50000</v>
      </c>
      <c r="D7" s="9">
        <f>C30</f>
        <v/>
      </c>
      <c r="E7" s="9">
        <f>D30</f>
        <v/>
      </c>
      <c r="F7" s="9">
        <f>E30</f>
        <v/>
      </c>
      <c r="G7" s="9">
        <f>F30</f>
        <v/>
      </c>
      <c r="I7" s="9" t="n"/>
    </row>
    <row r="8" ht="15" customHeight="1" s="277">
      <c r="A8" t="inlineStr">
        <is>
          <t>Investment Received</t>
        </is>
      </c>
      <c r="B8" t="inlineStr">
        <is>
          <t>Investment Received (LSC)</t>
        </is>
      </c>
      <c r="C8" s="50">
        <f>'8. LSC Investment'!C58</f>
        <v/>
      </c>
      <c r="D8" s="9" t="n">
        <v>0</v>
      </c>
      <c r="E8" s="9" t="n">
        <v>0</v>
      </c>
      <c r="F8" s="9" t="n">
        <v>0</v>
      </c>
      <c r="G8" s="9" t="n">
        <v>0</v>
      </c>
      <c r="I8" s="9">
        <f>SUM(C8:G8)</f>
        <v/>
      </c>
    </row>
    <row r="10" ht="15" customHeight="1" s="277">
      <c r="A10" s="24" t="inlineStr">
        <is>
          <t>SAAS CASH FLOWS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 ht="15" customHeight="1" s="277">
      <c r="A11" t="inlineStr">
        <is>
          <t>SaaS Revenue</t>
        </is>
      </c>
      <c r="C11" s="9">
        <f>'5. P&amp;L'!C7</f>
        <v/>
      </c>
      <c r="D11" s="9">
        <f>'5. P&amp;L'!D7</f>
        <v/>
      </c>
      <c r="E11" s="9">
        <f>'5. P&amp;L'!E7</f>
        <v/>
      </c>
      <c r="F11" s="9">
        <f>'5. P&amp;L'!F7</f>
        <v/>
      </c>
      <c r="G11" s="9">
        <f>'5. P&amp;L'!G7</f>
        <v/>
      </c>
      <c r="I11" s="9">
        <f>SUM(C11:G11)</f>
        <v/>
      </c>
    </row>
    <row r="12" ht="15" customHeight="1" s="277">
      <c r="A12" t="inlineStr">
        <is>
          <t>SaaS Operating Costs</t>
        </is>
      </c>
      <c r="C12" s="9">
        <f>'5. P&amp;L'!C11</f>
        <v/>
      </c>
      <c r="D12" s="9">
        <f>'5. P&amp;L'!D11</f>
        <v/>
      </c>
      <c r="E12" s="9">
        <f>'5. P&amp;L'!E11</f>
        <v/>
      </c>
      <c r="F12" s="9">
        <f>'5. P&amp;L'!F11</f>
        <v/>
      </c>
      <c r="G12" s="9">
        <f>'5. P&amp;L'!G11</f>
        <v/>
      </c>
      <c r="I12" s="9">
        <f>SUM(C12:G12)</f>
        <v/>
      </c>
    </row>
    <row r="13" ht="15" customHeight="1" s="277">
      <c r="A13" s="26" t="inlineStr">
        <is>
          <t>SaaS Net Cash</t>
        </is>
      </c>
      <c r="C13" s="9">
        <f>C11-C12</f>
        <v/>
      </c>
      <c r="D13" s="9">
        <f>D11-D12</f>
        <v/>
      </c>
      <c r="E13" s="9">
        <f>E11-E12</f>
        <v/>
      </c>
      <c r="F13" s="9">
        <f>F11-F12</f>
        <v/>
      </c>
      <c r="G13" s="9">
        <f>G11-G12</f>
        <v/>
      </c>
      <c r="I13" s="9">
        <f>SUM(C13:G13)</f>
        <v/>
      </c>
    </row>
    <row r="15" ht="15" customHeight="1" s="277">
      <c r="A15" s="28" t="inlineStr">
        <is>
          <t>HARDWARE CASH FLOWS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5" customHeight="1" s="277">
      <c r="A16" t="inlineStr">
        <is>
          <t>Hardware Revenue</t>
        </is>
      </c>
      <c r="C16" s="9">
        <f>'5. P&amp;L'!C17</f>
        <v/>
      </c>
      <c r="D16" s="9">
        <f>'5. P&amp;L'!D17</f>
        <v/>
      </c>
      <c r="E16" s="9">
        <f>'5. P&amp;L'!E17</f>
        <v/>
      </c>
      <c r="F16" s="9">
        <f>'5. P&amp;L'!F17</f>
        <v/>
      </c>
      <c r="G16" s="9">
        <f>'5. P&amp;L'!G17</f>
        <v/>
      </c>
      <c r="I16" s="9">
        <f>SUM(C16:G16)</f>
        <v/>
      </c>
    </row>
    <row r="17" ht="15" customHeight="1" s="277">
      <c r="A17" t="inlineStr">
        <is>
          <t>Hardware COGS</t>
        </is>
      </c>
      <c r="C17" s="9">
        <f>'5. P&amp;L'!C21</f>
        <v/>
      </c>
      <c r="D17" s="9">
        <f>'5. P&amp;L'!D21</f>
        <v/>
      </c>
      <c r="E17" s="9">
        <f>'5. P&amp;L'!E21</f>
        <v/>
      </c>
      <c r="F17" s="9">
        <f>'5. P&amp;L'!F21</f>
        <v/>
      </c>
      <c r="G17" s="9">
        <f>'5. P&amp;L'!G21</f>
        <v/>
      </c>
      <c r="I17" s="9">
        <f>SUM(C17:G17)</f>
        <v/>
      </c>
    </row>
    <row r="18" ht="15" customHeight="1" s="277">
      <c r="A18" s="30" t="inlineStr">
        <is>
          <t>Hardware Net Cash</t>
        </is>
      </c>
      <c r="C18" s="9">
        <f>C16-C17</f>
        <v/>
      </c>
      <c r="D18" s="9">
        <f>D16-D17</f>
        <v/>
      </c>
      <c r="E18" s="9">
        <f>E16-E17</f>
        <v/>
      </c>
      <c r="F18" s="9">
        <f>F16-F17</f>
        <v/>
      </c>
      <c r="G18" s="9">
        <f>G16-G17</f>
        <v/>
      </c>
      <c r="I18" s="9">
        <f>SUM(C18:G18)</f>
        <v/>
      </c>
    </row>
    <row r="20" ht="15" customHeight="1" s="277">
      <c r="A20" s="31" t="inlineStr">
        <is>
          <t>NET CASH FLOW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</row>
    <row r="21" ht="15" customHeight="1" s="277">
      <c r="A21" s="26" t="inlineStr">
        <is>
          <t>SaaS Net Cash</t>
        </is>
      </c>
      <c r="C21" s="9">
        <f>C13</f>
        <v/>
      </c>
      <c r="D21" s="9">
        <f>D13</f>
        <v/>
      </c>
      <c r="E21" s="9">
        <f>E13</f>
        <v/>
      </c>
      <c r="F21" s="9">
        <f>F13</f>
        <v/>
      </c>
      <c r="G21" s="9">
        <f>G13</f>
        <v/>
      </c>
      <c r="I21" s="9">
        <f>SUM(C21:G21)</f>
        <v/>
      </c>
    </row>
    <row r="22" ht="15" customHeight="1" s="277">
      <c r="A22" s="30" t="inlineStr">
        <is>
          <t>Hardware Net Cash</t>
        </is>
      </c>
      <c r="C22" s="9">
        <f>C18</f>
        <v/>
      </c>
      <c r="D22" s="9">
        <f>D18</f>
        <v/>
      </c>
      <c r="E22" s="9">
        <f>E18</f>
        <v/>
      </c>
      <c r="F22" s="9">
        <f>F18</f>
        <v/>
      </c>
      <c r="G22" s="9">
        <f>G18</f>
        <v/>
      </c>
      <c r="I22" s="9">
        <f>SUM(C22:G22)</f>
        <v/>
      </c>
    </row>
    <row r="23" ht="15" customHeight="1" s="277">
      <c r="A23" s="5" t="inlineStr">
        <is>
          <t>Total Net Cash Flow</t>
        </is>
      </c>
      <c r="C23" s="9">
        <f>C21+C22</f>
        <v/>
      </c>
      <c r="D23" s="9">
        <f>D21+D22</f>
        <v/>
      </c>
      <c r="E23" s="9">
        <f>E21+E22</f>
        <v/>
      </c>
      <c r="F23" s="9">
        <f>F21+F22</f>
        <v/>
      </c>
      <c r="G23" s="9">
        <f>G21+G22</f>
        <v/>
      </c>
      <c r="I23" s="9">
        <f>SUM(C23:G23)</f>
        <v/>
      </c>
    </row>
    <row r="25" ht="15" customHeight="1" s="277">
      <c r="A25" s="31" t="inlineStr">
        <is>
          <t>CLOSING POSITION</t>
        </is>
      </c>
      <c r="B25" s="46" t="n"/>
      <c r="C25" s="46" t="n"/>
      <c r="D25" s="46" t="n"/>
      <c r="E25" s="46" t="n"/>
      <c r="F25" s="46" t="n"/>
      <c r="G25" s="46" t="n"/>
      <c r="H25" s="46" t="n"/>
      <c r="I25" s="46" t="n"/>
    </row>
    <row r="26" ht="15" customHeight="1" s="277">
      <c r="A26" t="inlineStr">
        <is>
          <t>Cash Flow (before investment)</t>
        </is>
      </c>
      <c r="C26" s="9">
        <f>C23</f>
        <v/>
      </c>
      <c r="D26" s="9">
        <f>D23</f>
        <v/>
      </c>
      <c r="E26" s="9">
        <f>E23</f>
        <v/>
      </c>
      <c r="F26" s="9">
        <f>F23</f>
        <v/>
      </c>
      <c r="G26" s="9">
        <f>G23</f>
        <v/>
      </c>
      <c r="I26" s="9" t="n"/>
    </row>
    <row r="27" ht="15" customHeight="1" s="277">
      <c r="A27" t="inlineStr">
        <is>
          <t>Investment</t>
        </is>
      </c>
      <c r="C27" s="9">
        <f>C8</f>
        <v/>
      </c>
      <c r="D27" s="9">
        <f>D8</f>
        <v/>
      </c>
      <c r="E27" s="9">
        <f>E8</f>
        <v/>
      </c>
      <c r="F27" s="9">
        <f>F8</f>
        <v/>
      </c>
      <c r="G27" s="9">
        <f>G8</f>
        <v/>
      </c>
      <c r="I27" s="9" t="n"/>
    </row>
    <row r="28" ht="15" customHeight="1" s="277">
      <c r="A28" t="inlineStr">
        <is>
          <t>Net Movement</t>
        </is>
      </c>
      <c r="C28" s="9">
        <f>C26+C27</f>
        <v/>
      </c>
      <c r="D28" s="9">
        <f>D26+D27</f>
        <v/>
      </c>
      <c r="E28" s="9">
        <f>E26+E27</f>
        <v/>
      </c>
      <c r="F28" s="9">
        <f>F26+F27</f>
        <v/>
      </c>
      <c r="G28" s="9">
        <f>G26+G27</f>
        <v/>
      </c>
      <c r="I28" s="9" t="n"/>
    </row>
    <row r="30" ht="15" customHeight="1" s="277">
      <c r="A30" s="5" t="inlineStr">
        <is>
          <t>Closing Cash</t>
        </is>
      </c>
      <c r="C30" s="9">
        <f>C7+C28</f>
        <v/>
      </c>
      <c r="D30" s="9">
        <f>D7+D28</f>
        <v/>
      </c>
      <c r="E30" s="9">
        <f>E7+E28</f>
        <v/>
      </c>
      <c r="F30" s="9">
        <f>F7+F28</f>
        <v/>
      </c>
      <c r="G30" s="9">
        <f>G7+G28</f>
        <v/>
      </c>
      <c r="I30" s="9" t="n"/>
    </row>
    <row r="31" ht="15" customHeight="1" s="277">
      <c r="A31" t="inlineStr">
        <is>
          <t>Cash Flow Positive?</t>
        </is>
      </c>
      <c r="C31">
        <f>IF(C23&gt;=0,"✓ Yes","✗ No")</f>
        <v/>
      </c>
      <c r="D31">
        <f>IF(D23&gt;=0,"✓ Yes","✗ No")</f>
        <v/>
      </c>
      <c r="E31">
        <f>IF(E23&gt;=0,"✓ Yes","✗ No")</f>
        <v/>
      </c>
      <c r="F31">
        <f>IF(F23&gt;=0,"✓ Yes","✗ No")</f>
        <v/>
      </c>
      <c r="G31">
        <f>IF(G23&gt;=0,"✓ Yes","✗ No")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44"/>
  <sheetViews>
    <sheetView showGridLines="0" workbookViewId="0">
      <selection activeCell="E21" sqref="E21"/>
    </sheetView>
  </sheetViews>
  <sheetFormatPr baseColWidth="8" defaultRowHeight="14.6"/>
  <cols>
    <col width="2" customWidth="1" style="277" min="1" max="1"/>
    <col width="42" customWidth="1" style="277" min="2" max="2"/>
    <col width="16" customWidth="1" style="277" min="3" max="5"/>
    <col width="4" customWidth="1" style="277" min="6" max="6"/>
    <col width="16" customWidth="1" style="277" min="7" max="7"/>
    <col width="50" customWidth="1" style="277" min="8" max="8"/>
  </cols>
  <sheetData>
    <row r="2" ht="24" customHeight="1" s="277">
      <c r="B2" s="299" t="inlineStr">
        <is>
          <t>PRODUCTCO VALUATION — Comps + DCF + Strategic Premium</t>
        </is>
      </c>
    </row>
    <row r="3">
      <c r="B3" s="298" t="inlineStr">
        <is>
          <t>Yellow=input. Green=link. Black=formula. Sources cited inline.</t>
        </is>
      </c>
    </row>
    <row r="5">
      <c r="B5" s="81" t="inlineStr">
        <is>
          <t>COMPS REFERENCE TABLE (2026 market data)</t>
        </is>
      </c>
      <c r="C5" s="81" t="n"/>
      <c r="D5" s="81" t="n"/>
      <c r="E5" s="81" t="n"/>
      <c r="F5" s="81" t="n"/>
      <c r="G5" s="81" t="n"/>
      <c r="H5" s="81" t="n"/>
    </row>
    <row r="6">
      <c r="B6" s="59" t="inlineStr">
        <is>
          <t>Benchmark</t>
        </is>
      </c>
      <c r="C6" s="82" t="inlineStr">
        <is>
          <t>Low</t>
        </is>
      </c>
      <c r="D6" s="82" t="inlineStr">
        <is>
          <t>Mid</t>
        </is>
      </c>
      <c r="E6" s="82" t="inlineStr">
        <is>
          <t>High</t>
        </is>
      </c>
      <c r="H6" s="59" t="inlineStr">
        <is>
          <t>Source</t>
        </is>
      </c>
    </row>
    <row r="7">
      <c r="B7" s="55" t="inlineStr">
        <is>
          <t>Australian SaaS &lt;$1M ARR (local buyers)</t>
        </is>
      </c>
      <c r="C7" s="83" t="n">
        <v>3</v>
      </c>
      <c r="D7" s="83" t="n">
        <v>3.75</v>
      </c>
      <c r="E7" s="83" t="n">
        <v>4.5</v>
      </c>
      <c r="H7" s="80" t="inlineStr">
        <is>
          <t>Digital Asset Brokers AU (2026)</t>
        </is>
      </c>
    </row>
    <row r="8">
      <c r="B8" s="55" t="inlineStr">
        <is>
          <t>Australian SaaS $1M-$5M ARR (intl buyers)</t>
        </is>
      </c>
      <c r="C8" s="83" t="n">
        <v>5.5</v>
      </c>
      <c r="D8" s="83" t="n">
        <v>6.75</v>
      </c>
      <c r="E8" s="83" t="n">
        <v>8</v>
      </c>
      <c r="H8" s="80" t="inlineStr">
        <is>
          <t>Digital Asset Brokers AU (2026)</t>
        </is>
      </c>
    </row>
    <row r="9">
      <c r="B9" s="55" t="inlineStr">
        <is>
          <t>Global private SaaS median (M&amp;A)</t>
        </is>
      </c>
      <c r="C9" s="83" t="n">
        <v>3.3</v>
      </c>
      <c r="D9" s="83" t="n">
        <v>4.5</v>
      </c>
      <c r="E9" s="83" t="n">
        <v>6.2</v>
      </c>
      <c r="H9" s="80" t="inlineStr">
        <is>
          <t>Aventis Advisors 2015-2026</t>
        </is>
      </c>
    </row>
    <row r="10">
      <c r="B10" s="55" t="inlineStr">
        <is>
          <t>ACaaS direct comps (recalibrated from PropTech)</t>
        </is>
      </c>
      <c r="C10" s="107" t="n">
        <v>6</v>
      </c>
      <c r="D10" s="107" t="n">
        <v>8</v>
      </c>
      <c r="E10" s="107" t="n">
        <v>10</v>
      </c>
      <c r="H10" s="108" t="inlineStr">
        <is>
          <t>Brivo 11x, Openpath ~10-11x (strategic), Verkada 5.8x (huge scale). Conservative=6x reflects pre-revenue execution risk discount.</t>
        </is>
      </c>
    </row>
    <row r="11">
      <c r="B11" s="55" t="inlineStr">
        <is>
          <t>Premium metrics (NRR &gt;110%, R40 &gt;50)</t>
        </is>
      </c>
      <c r="C11" s="83" t="n">
        <v>7</v>
      </c>
      <c r="D11" s="83" t="n">
        <v>8.5</v>
      </c>
      <c r="E11" s="83" t="n">
        <v>10</v>
      </c>
      <c r="H11" s="80" t="inlineStr">
        <is>
          <t>Digital Asset Brokers AU (2026)</t>
        </is>
      </c>
    </row>
    <row r="13">
      <c r="B13" s="55" t="inlineStr">
        <is>
          <t>ANZ vs Intl buyer discount</t>
        </is>
      </c>
      <c r="C13" s="84" t="n">
        <v>0.2</v>
      </c>
      <c r="D13" s="84" t="n">
        <v>0.25</v>
      </c>
      <c r="E13" s="84" t="n">
        <v>0.3</v>
      </c>
      <c r="H13" s="80" t="inlineStr">
        <is>
          <t>Australian buyer-only deals discount by 20-30%</t>
        </is>
      </c>
    </row>
    <row r="14">
      <c r="B14" s="55" t="inlineStr">
        <is>
          <t>Discount rate (early-stage VC)</t>
        </is>
      </c>
      <c r="C14" s="84" t="n">
        <v>0.25</v>
      </c>
      <c r="D14" s="84" t="n">
        <v>0.3</v>
      </c>
      <c r="E14" s="84" t="n">
        <v>0.35</v>
      </c>
      <c r="H14" s="80" t="inlineStr">
        <is>
          <t>VC standard for growth-stage SaaS: 25-40%</t>
        </is>
      </c>
    </row>
    <row r="15">
      <c r="B15" s="55" t="inlineStr">
        <is>
          <t>Strategic premium over financial value</t>
        </is>
      </c>
      <c r="C15" s="84" t="n">
        <v>0.15</v>
      </c>
      <c r="D15" s="84" t="n">
        <v>0.25</v>
      </c>
      <c r="E15" s="84" t="n">
        <v>0.35</v>
      </c>
      <c r="H15" s="80" t="inlineStr">
        <is>
          <t>Strategic buyers pay 15-35% over financial-only valuation</t>
        </is>
      </c>
    </row>
    <row r="17">
      <c r="B17" s="81" t="inlineStr">
        <is>
          <t>REVENUE FORECAST (links to Cloud Model)</t>
        </is>
      </c>
      <c r="C17" s="81" t="n"/>
      <c r="D17" s="81" t="n"/>
      <c r="E17" s="81" t="n"/>
      <c r="F17" s="81" t="n"/>
      <c r="G17" s="81" t="n"/>
      <c r="H17" s="81" t="n"/>
    </row>
    <row r="18">
      <c r="B18" s="55" t="inlineStr">
        <is>
          <t>Year 0 ARR (existing)</t>
        </is>
      </c>
      <c r="C18" s="85" t="n">
        <v>139000</v>
      </c>
      <c r="H18" s="80" t="inlineStr">
        <is>
          <t>FY26 actual own-software recurring ~$139k / 30 sites (corrects prior "$170k/25 sites")</t>
        </is>
      </c>
    </row>
    <row r="19">
      <c r="B19" s="55" t="inlineStr">
        <is>
          <t>Year 5 SaaS ARR (selected scenario)</t>
        </is>
      </c>
      <c r="C19" s="85">
        <f>'5. P&amp;L'!G7</f>
        <v/>
      </c>
      <c r="H19" s="80" t="inlineStr">
        <is>
          <t>From P&amp;L, responds to Dashboard scenario</t>
        </is>
      </c>
    </row>
    <row r="20">
      <c r="B20" s="55" t="inlineStr">
        <is>
          <t>Year 5 Total Revenue (SaaS + HW)</t>
        </is>
      </c>
      <c r="C20" s="85">
        <f>'5. P&amp;L'!G27</f>
        <v/>
      </c>
    </row>
    <row r="21">
      <c r="B21" s="55" t="inlineStr">
        <is>
          <t>5-Year Cumulative Gross Profit</t>
        </is>
      </c>
      <c r="C21" s="85">
        <f>'5. P&amp;L'!I30</f>
        <v/>
      </c>
    </row>
    <row r="22">
      <c r="B22" s="55" t="inlineStr">
        <is>
          <t>Implied ARR CAGR (Y0 → Y5)</t>
        </is>
      </c>
      <c r="C22" s="86">
        <f>(C19/C18)^(1/5)-1</f>
        <v/>
      </c>
      <c r="H22" s="80" t="inlineStr">
        <is>
          <t>Compound annual growth rate of SaaS ARR</t>
        </is>
      </c>
    </row>
    <row r="23">
      <c r="B23" s="55" t="inlineStr">
        <is>
          <t>Selected scenario</t>
        </is>
      </c>
      <c r="C23" s="87">
        <f>'2. Dashboard'!B5</f>
        <v/>
      </c>
      <c r="D23" s="87">
        <f>"("&amp;IF('2. Dashboard'!B5="S","Conservative",IF('2. Dashboard'!B5="M","Base","Aggressive"))&amp;")"</f>
        <v/>
      </c>
    </row>
    <row r="25">
      <c r="B25" s="81" t="inlineStr">
        <is>
          <t>FORWARD-MULTIPLE VALUATION (Y5 ARR × Multiple, discounted)</t>
        </is>
      </c>
      <c r="C25" s="81" t="n"/>
      <c r="D25" s="81" t="n"/>
      <c r="E25" s="81" t="n"/>
      <c r="F25" s="81" t="n"/>
      <c r="G25" s="81" t="n"/>
      <c r="H25" s="81" t="n"/>
    </row>
    <row r="26">
      <c r="B26" s="59" t="inlineStr">
        <is>
          <t>Approach</t>
        </is>
      </c>
      <c r="C26" s="82" t="inlineStr">
        <is>
          <t>Conservative</t>
        </is>
      </c>
      <c r="D26" s="82" t="inlineStr">
        <is>
          <t>Base</t>
        </is>
      </c>
      <c r="E26" s="82" t="inlineStr">
        <is>
          <t>Aggressive</t>
        </is>
      </c>
    </row>
    <row r="27">
      <c r="B27" s="55" t="inlineStr">
        <is>
          <t>ARR Exit Multiple (chosen)</t>
        </is>
      </c>
      <c r="C27" s="88">
        <f>C10</f>
        <v/>
      </c>
      <c r="D27" s="88">
        <f>D10</f>
        <v/>
      </c>
      <c r="E27" s="88">
        <f>E10</f>
        <v/>
      </c>
      <c r="H27" s="80" t="inlineStr">
        <is>
          <t>Default = PropTech vertical comps (row 10); editable above</t>
        </is>
      </c>
    </row>
    <row r="28">
      <c r="B28" s="55" t="inlineStr">
        <is>
          <t>Y5 Exit Value (gross)</t>
        </is>
      </c>
      <c r="C28" s="89">
        <f>$C$19*C27</f>
        <v/>
      </c>
      <c r="D28" s="89">
        <f>$C$19*D27</f>
        <v/>
      </c>
      <c r="E28" s="89">
        <f>$C$19*E27</f>
        <v/>
      </c>
    </row>
    <row r="29">
      <c r="B29" s="55" t="inlineStr">
        <is>
          <t>ANZ Buyer Discount</t>
        </is>
      </c>
      <c r="C29" s="117">
        <f>E13</f>
        <v/>
      </c>
      <c r="D29" s="117">
        <f>D13</f>
        <v/>
      </c>
      <c r="E29" s="117">
        <f>C13</f>
        <v/>
      </c>
    </row>
    <row r="30">
      <c r="B30" s="55" t="inlineStr">
        <is>
          <t>Y5 Exit Value (post-ANZ adjustment)</t>
        </is>
      </c>
      <c r="C30" s="89">
        <f>C28*(1-C29)</f>
        <v/>
      </c>
      <c r="D30" s="89">
        <f>D28*(1-D29)</f>
        <v/>
      </c>
      <c r="E30" s="89">
        <f>E28*(1-E29)</f>
        <v/>
      </c>
    </row>
    <row r="31">
      <c r="B31" s="55" t="inlineStr">
        <is>
          <t>Discount Rate</t>
        </is>
      </c>
      <c r="C31" s="117">
        <f>E14</f>
        <v/>
      </c>
      <c r="D31" s="117">
        <f>D14</f>
        <v/>
      </c>
      <c r="E31" s="117">
        <f>C14</f>
        <v/>
      </c>
    </row>
    <row r="32">
      <c r="B32" s="55" t="inlineStr">
        <is>
          <t>Years to Exit</t>
        </is>
      </c>
      <c r="C32" s="90" t="n">
        <v>5</v>
      </c>
      <c r="D32" s="90" t="n">
        <v>5</v>
      </c>
      <c r="E32" s="90" t="n">
        <v>5</v>
      </c>
    </row>
    <row r="33">
      <c r="B33" s="59" t="inlineStr">
        <is>
          <t>PRE-MONEY (Financial only)</t>
        </is>
      </c>
      <c r="C33" s="60">
        <f>C30/(1+C31)^C32</f>
        <v/>
      </c>
      <c r="D33" s="60">
        <f>D30/(1+D31)^D32</f>
        <v/>
      </c>
      <c r="E33" s="60">
        <f>E30/(1+E31)^E32</f>
        <v/>
      </c>
    </row>
    <row r="35">
      <c r="B35" s="81" t="inlineStr">
        <is>
          <t>STRATEGIC PREMIUM — LSC-specific value capture</t>
        </is>
      </c>
      <c r="C35" s="81" t="n"/>
      <c r="D35" s="81" t="n"/>
      <c r="E35" s="81" t="n"/>
      <c r="F35" s="81" t="n"/>
      <c r="G35" s="81" t="n"/>
      <c r="H35" s="81" t="n"/>
    </row>
    <row r="36" ht="30" customHeight="1" s="277">
      <c r="B36" s="296" t="inlineStr">
        <is>
          <t>LSC strategic premium ZEROED until LSC commits — base pre-money is now FINANCIAL-ONLY. Restore attribution (row 41-43) when signed.</t>
        </is>
      </c>
    </row>
    <row r="37">
      <c r="B37" s="55" t="inlineStr">
        <is>
          <t>5-Year LSC Hardware Margin (link)</t>
        </is>
      </c>
      <c r="C37" s="262">
        <f>Revenue!C59</f>
        <v/>
      </c>
      <c r="H37" s="80" t="inlineStr">
        <is>
          <t>From Revenue tab: locks × LSC margin</t>
        </is>
      </c>
    </row>
    <row r="38">
      <c r="B38" s="55" t="inlineStr">
        <is>
          <t>5-Year Accelerant Margin (link)</t>
        </is>
      </c>
      <c r="C38" s="262">
        <f>Revenue!C60</f>
        <v/>
      </c>
      <c r="H38" s="80" t="inlineStr">
        <is>
          <t>Additional locks LSC sells due to Zezamii uplift</t>
        </is>
      </c>
    </row>
    <row r="39">
      <c r="B39" s="55" t="inlineStr">
        <is>
          <t>5-Year Panel Margin (link)</t>
        </is>
      </c>
      <c r="C39" s="262">
        <f>SUM(IF('2. Dashboard'!$B$5="S",'4. Product Forecast'!C31:G31,IF('2. Dashboard'!$B$5="M",'4. Product Forecast'!C63:G63,'4. Product Forecast'!C95:G95)))*'3. Assumptions'!$B$63</f>
        <v/>
      </c>
      <c r="H39" s="80" t="inlineStr">
        <is>
          <t>Panels sold via ACaaS — only exist with ProductCo</t>
        </is>
      </c>
    </row>
    <row r="40">
      <c r="B40" s="59" t="inlineStr">
        <is>
          <t>Attribution to ProductCo partnership</t>
        </is>
      </c>
    </row>
    <row r="41">
      <c r="B41" s="55" t="inlineStr">
        <is>
          <t xml:space="preserve">  % of hardware margin attributable</t>
        </is>
      </c>
      <c r="C41" s="84" t="n">
        <v>0</v>
      </c>
      <c r="D41" t="n">
        <v>0</v>
      </c>
      <c r="E41" t="n">
        <v>0</v>
      </c>
      <c r="H41" s="80" t="inlineStr">
        <is>
          <t>ZEROED until LSC commits. When LSC signs, restore: HW=0.5 / accelerant=1.0 / panel=1.0</t>
        </is>
      </c>
    </row>
    <row r="42">
      <c r="B42" s="55" t="inlineStr">
        <is>
          <t xml:space="preserve">  % of accelerant margin attributable</t>
        </is>
      </c>
      <c r="C42" s="84" t="n">
        <v>0</v>
      </c>
      <c r="D42" t="n">
        <v>0</v>
      </c>
      <c r="E42" t="n">
        <v>0</v>
      </c>
      <c r="H42" s="80" t="inlineStr">
        <is>
          <t>Accelerant by definition only exists with PCo</t>
        </is>
      </c>
    </row>
    <row r="43">
      <c r="B43" s="55" t="inlineStr">
        <is>
          <t xml:space="preserve">  % of panel margin attributable</t>
        </is>
      </c>
      <c r="C43" s="84" t="n">
        <v>0</v>
      </c>
      <c r="D43" t="n">
        <v>0</v>
      </c>
      <c r="E43" t="n">
        <v>0</v>
      </c>
      <c r="H43" s="80" t="inlineStr">
        <is>
          <t>Panels only sold via ACaaS / PCo channel</t>
        </is>
      </c>
    </row>
    <row r="44">
      <c r="B44" s="55" t="inlineStr">
        <is>
          <t>Total LSC Capture from Partnership (5-yr)</t>
        </is>
      </c>
      <c r="C44" s="263">
        <f>(C37*C41)+(C38*C42)+(C39*C43)</f>
        <v/>
      </c>
    </row>
    <row r="45">
      <c r="B45" s="55" t="inlineStr">
        <is>
          <t>LSC hurdle rate (lower than VC)</t>
        </is>
      </c>
      <c r="C45" s="84" t="n">
        <v>0.12</v>
      </c>
      <c r="H45" s="80" t="inlineStr">
        <is>
          <t>LSC is established distributor — lower cost of capital</t>
        </is>
      </c>
    </row>
    <row r="46">
      <c r="B46" s="55" t="inlineStr">
        <is>
          <t>NPV of LSC capture (5-yr annuity approx)</t>
        </is>
      </c>
      <c r="C46" s="264">
        <f>C44/((1+C45)^2.5)</f>
        <v/>
      </c>
      <c r="H46" s="80" t="inlineStr">
        <is>
          <t>Treated as 5-year level cash flow; conservative approximation</t>
        </is>
      </c>
    </row>
    <row r="47">
      <c r="B47" s="59" t="inlineStr">
        <is>
          <t>LSC's share of synergy in deal price</t>
        </is>
      </c>
      <c r="C47" s="82" t="inlineStr">
        <is>
          <t>LSC keeps</t>
        </is>
      </c>
      <c r="D47" s="82" t="inlineStr">
        <is>
          <t>Split 50/50</t>
        </is>
      </c>
      <c r="E47" s="82" t="inlineStr">
        <is>
          <t>PCo keeps most</t>
        </is>
      </c>
      <c r="H47" s="80" t="inlineStr">
        <is>
          <t>How much of the LSC-specific value flows into the price LSC pays</t>
        </is>
      </c>
    </row>
    <row r="48">
      <c r="B48" s="55" t="inlineStr">
        <is>
          <t>LSC retains (paid in price = remainder)</t>
        </is>
      </c>
      <c r="C48" s="84" t="n">
        <v>0.75</v>
      </c>
      <c r="D48" s="84" t="n">
        <v>0.5</v>
      </c>
      <c r="E48" s="84" t="n">
        <v>0.25</v>
      </c>
    </row>
    <row r="49">
      <c r="B49" s="59" t="inlineStr">
        <is>
          <t>Strategic premium paid by LSC ($)</t>
        </is>
      </c>
      <c r="C49" s="263">
        <f>C46*(1-C48)</f>
        <v/>
      </c>
      <c r="D49" s="263">
        <f>C46*(1-D48)</f>
        <v/>
      </c>
      <c r="E49" s="263">
        <f>C46*(1-E48)</f>
        <v/>
      </c>
    </row>
    <row r="51">
      <c r="B51" s="81" t="inlineStr">
        <is>
          <t>VALUATION RANGE — Financial + Strategic Premium</t>
        </is>
      </c>
      <c r="C51" s="81" t="n"/>
      <c r="D51" s="81" t="n"/>
      <c r="E51" s="81" t="n"/>
      <c r="F51" s="81" t="n"/>
      <c r="G51" s="81" t="n"/>
      <c r="H51" s="81" t="n"/>
    </row>
    <row r="52">
      <c r="B52" s="59" t="n"/>
      <c r="C52" s="82" t="inlineStr">
        <is>
          <t>Conservative</t>
        </is>
      </c>
      <c r="D52" s="82" t="inlineStr">
        <is>
          <t>Base</t>
        </is>
      </c>
      <c r="E52" s="82" t="inlineStr">
        <is>
          <t>Aggressive</t>
        </is>
      </c>
    </row>
    <row r="53">
      <c r="B53" s="55" t="inlineStr">
        <is>
          <t>Financial Pre-Money (from row 33)</t>
        </is>
      </c>
      <c r="C53" s="89">
        <f>C33</f>
        <v/>
      </c>
      <c r="D53" s="89">
        <f>D33</f>
        <v/>
      </c>
      <c r="E53" s="89">
        <f>E33</f>
        <v/>
      </c>
    </row>
    <row r="54">
      <c r="B54" s="55" t="inlineStr">
        <is>
          <t>Strategic Premium (from row 49)</t>
        </is>
      </c>
      <c r="C54" s="264">
        <f>C49</f>
        <v/>
      </c>
      <c r="D54" s="264">
        <f>D49</f>
        <v/>
      </c>
      <c r="E54" s="264">
        <f>E49</f>
        <v/>
      </c>
    </row>
    <row r="55">
      <c r="B55" s="59" t="inlineStr">
        <is>
          <t>PRE-MONEY (Financial + Strategic)</t>
        </is>
      </c>
      <c r="C55" s="91">
        <f>C53+C54</f>
        <v/>
      </c>
      <c r="D55" s="92">
        <f>D53+D54</f>
        <v/>
      </c>
      <c r="E55" s="93">
        <f>E53+E54</f>
        <v/>
      </c>
    </row>
    <row r="57">
      <c r="B57" s="59" t="inlineStr">
        <is>
          <t>Implied multiples (check)</t>
        </is>
      </c>
    </row>
    <row r="58">
      <c r="B58" s="55" t="inlineStr">
        <is>
          <t xml:space="preserve">  vs Y0 ARR</t>
        </is>
      </c>
      <c r="C58" s="88">
        <f>C55/$C$18</f>
        <v/>
      </c>
      <c r="D58" s="88">
        <f>D55/$C$18</f>
        <v/>
      </c>
      <c r="E58" s="88">
        <f>E55/$C$18</f>
        <v/>
      </c>
    </row>
    <row r="59">
      <c r="B59" s="55" t="inlineStr">
        <is>
          <t xml:space="preserve">  vs Y5 ARR</t>
        </is>
      </c>
      <c r="C59" s="88">
        <f>C55/$C$19</f>
        <v/>
      </c>
      <c r="D59" s="88">
        <f>D55/$C$19</f>
        <v/>
      </c>
      <c r="E59" s="88">
        <f>E55/$C$19</f>
        <v/>
      </c>
    </row>
    <row r="61">
      <c r="B61" s="81" t="inlineStr">
        <is>
          <t>COMPARISON TO CURRENT HARDCODED PRE-MONEY</t>
        </is>
      </c>
      <c r="C61" s="81" t="n"/>
      <c r="D61" s="81" t="n"/>
      <c r="E61" s="81" t="n"/>
      <c r="F61" s="81" t="n"/>
      <c r="G61" s="81" t="n"/>
      <c r="H61" s="81" t="n"/>
    </row>
    <row r="62">
      <c r="B62" s="55" t="inlineStr">
        <is>
          <t>Currently SELECTED Pre-Money (LSC Investment!C19)</t>
        </is>
      </c>
      <c r="C62" s="96">
        <f>'8. LSC Investment'!C19</f>
        <v/>
      </c>
    </row>
    <row r="63">
      <c r="B63" s="55" t="inlineStr">
        <is>
          <t>Comp-based mid range (Base case)</t>
        </is>
      </c>
      <c r="C63" s="89">
        <f>D55</f>
        <v/>
      </c>
    </row>
    <row r="64">
      <c r="B64" s="59" t="inlineStr">
        <is>
          <t>Gap (Base − Selected)</t>
        </is>
      </c>
      <c r="C64" s="60">
        <f>D55-C62</f>
        <v/>
      </c>
    </row>
    <row r="65">
      <c r="B65" s="59" t="inlineStr">
        <is>
          <t>Selected as % of Base</t>
        </is>
      </c>
      <c r="C65" s="97">
        <f>C62/D55</f>
        <v/>
      </c>
      <c r="H65" s="80" t="inlineStr">
        <is>
          <t>If &lt;100%, hardcoded valuation is BELOW market</t>
        </is>
      </c>
    </row>
    <row r="67">
      <c r="B67" s="81" t="inlineStr">
        <is>
          <t>SENSITIVITY — Pre-Money (Financial only) vs Multiple × Discount Rate</t>
        </is>
      </c>
      <c r="C67" s="81" t="n"/>
      <c r="D67" s="81" t="n"/>
      <c r="E67" s="81" t="n"/>
      <c r="F67" s="81" t="n"/>
      <c r="G67" s="81" t="n"/>
      <c r="H67" s="81" t="n"/>
    </row>
    <row r="68">
      <c r="B68" s="80" t="inlineStr">
        <is>
          <t>Holds: Y5 ARR (link), ANZ discount 25%, 5-yr horizon</t>
        </is>
      </c>
    </row>
    <row r="70">
      <c r="B70" s="59" t="inlineStr">
        <is>
          <t>Discount \ Multiple</t>
        </is>
      </c>
      <c r="D70" s="94" t="n">
        <v>3</v>
      </c>
      <c r="E70" s="94" t="n">
        <v>4</v>
      </c>
      <c r="F70" s="94" t="n">
        <v>5</v>
      </c>
      <c r="G70" s="94" t="n">
        <v>6</v>
      </c>
      <c r="H70" s="94" t="n">
        <v>8</v>
      </c>
    </row>
    <row r="71">
      <c r="C71" s="84" t="n">
        <v>0.2</v>
      </c>
      <c r="D71" s="89">
        <f>$C$19*D$70*(1-$D$13)/(1+$C71)^5</f>
        <v/>
      </c>
      <c r="E71" s="89">
        <f>$C$19*E$70*(1-$D$13)/(1+$C71)^5</f>
        <v/>
      </c>
      <c r="F71" s="89">
        <f>$C$19*F$70*(1-$D$13)/(1+$C71)^5</f>
        <v/>
      </c>
      <c r="G71" s="89">
        <f>$C$19*G$70*(1-$D$13)/(1+$C71)^5</f>
        <v/>
      </c>
      <c r="H71" s="89">
        <f>$C$19*H$70*(1-$D$13)/(1+$C71)^5</f>
        <v/>
      </c>
    </row>
    <row r="72">
      <c r="C72" s="84" t="n">
        <v>0.25</v>
      </c>
      <c r="D72" s="89">
        <f>$C$19*D$70*(1-$D$13)/(1+$C72)^5</f>
        <v/>
      </c>
      <c r="E72" s="89">
        <f>$C$19*E$70*(1-$D$13)/(1+$C72)^5</f>
        <v/>
      </c>
      <c r="F72" s="89">
        <f>$C$19*F$70*(1-$D$13)/(1+$C72)^5</f>
        <v/>
      </c>
      <c r="G72" s="89">
        <f>$C$19*G$70*(1-$D$13)/(1+$C72)^5</f>
        <v/>
      </c>
      <c r="H72" s="89">
        <f>$C$19*H$70*(1-$D$13)/(1+$C72)^5</f>
        <v/>
      </c>
    </row>
    <row r="73">
      <c r="C73" s="84" t="n">
        <v>0.3</v>
      </c>
      <c r="D73" s="89">
        <f>$C$19*D$70*(1-$D$13)/(1+$C73)^5</f>
        <v/>
      </c>
      <c r="E73" s="95">
        <f>$C$19*E$70*(1-$D$13)/(1+$C73)^5</f>
        <v/>
      </c>
      <c r="F73" s="89">
        <f>$C$19*F$70*(1-$D$13)/(1+$C73)^5</f>
        <v/>
      </c>
      <c r="G73" s="89">
        <f>$C$19*G$70*(1-$D$13)/(1+$C73)^5</f>
        <v/>
      </c>
      <c r="H73" s="89">
        <f>$C$19*H$70*(1-$D$13)/(1+$C73)^5</f>
        <v/>
      </c>
    </row>
    <row r="74">
      <c r="C74" s="84" t="n">
        <v>0.35</v>
      </c>
      <c r="D74" s="89">
        <f>$C$19*D$70*(1-$D$13)/(1+$C74)^5</f>
        <v/>
      </c>
      <c r="E74" s="89">
        <f>$C$19*E$70*(1-$D$13)/(1+$C74)^5</f>
        <v/>
      </c>
      <c r="F74" s="89">
        <f>$C$19*F$70*(1-$D$13)/(1+$C74)^5</f>
        <v/>
      </c>
      <c r="G74" s="89">
        <f>$C$19*G$70*(1-$D$13)/(1+$C74)^5</f>
        <v/>
      </c>
      <c r="H74" s="89">
        <f>$C$19*H$70*(1-$D$13)/(1+$C74)^5</f>
        <v/>
      </c>
    </row>
    <row r="75">
      <c r="C75" s="84" t="n">
        <v>0.4</v>
      </c>
      <c r="D75" s="89">
        <f>$C$19*D$70*(1-$D$13)/(1+$C75)^5</f>
        <v/>
      </c>
      <c r="E75" s="89">
        <f>$C$19*E$70*(1-$D$13)/(1+$C75)^5</f>
        <v/>
      </c>
      <c r="F75" s="89">
        <f>$C$19*F$70*(1-$D$13)/(1+$C75)^5</f>
        <v/>
      </c>
      <c r="G75" s="89">
        <f>$C$19*G$70*(1-$D$13)/(1+$C75)^5</f>
        <v/>
      </c>
      <c r="H75" s="89">
        <f>$C$19*H$70*(1-$D$13)/(1+$C75)^5</f>
        <v/>
      </c>
    </row>
    <row r="77">
      <c r="B77" s="298" t="inlineStr">
        <is>
          <t>Highlighted = Base assumptions (5x ARR multiple, 30% discount). Strategic premium excluded.</t>
        </is>
      </c>
    </row>
    <row r="79">
      <c r="B79" s="81" t="inlineStr">
        <is>
          <t>SOURCES &amp; METHODOLOGY</t>
        </is>
      </c>
      <c r="C79" s="81" t="n"/>
      <c r="D79" s="81" t="n"/>
      <c r="E79" s="81" t="n"/>
      <c r="F79" s="81" t="n"/>
      <c r="G79" s="81" t="n"/>
      <c r="H79" s="81" t="n"/>
    </row>
    <row r="80" ht="18" customHeight="1" s="277">
      <c r="B80" s="296" t="inlineStr">
        <is>
          <t>SaaS Valuation Multiples 2026 — Aventis Advisors (https://aventis-advisors.com/saas-valuation-multiples/)</t>
        </is>
      </c>
    </row>
    <row r="81" ht="18" customHeight="1" s="277">
      <c r="B81" s="296" t="inlineStr">
        <is>
          <t>SaaS Valuation Multiples Australia 2026 — Digital Asset Brokers (https://digitalassetbrokers.com.au/saas-valuation-multiples-australia-2026)</t>
        </is>
      </c>
    </row>
    <row r="82" ht="18" customHeight="1" s="277">
      <c r="B82" s="296" t="inlineStr">
        <is>
          <t>PropTech Investment Trends 2026 — Qubit Capital, Software Equity Group, Objective IBV</t>
        </is>
      </c>
    </row>
    <row r="83" ht="18" customHeight="1" s="277">
      <c r="B83" s="296" t="inlineStr">
        <is>
          <t>Strategic vs Financial Buyers — L40°, FE International (2026)</t>
        </is>
      </c>
    </row>
    <row r="84" ht="18" customHeight="1" s="277">
      <c r="B84" s="296" t="n"/>
    </row>
    <row r="85" ht="18" customHeight="1" s="277">
      <c r="B85" s="296" t="inlineStr">
        <is>
          <t>METHODOLOGY:</t>
        </is>
      </c>
    </row>
    <row r="86" ht="18" customHeight="1" s="277">
      <c r="B86" s="296" t="inlineStr">
        <is>
          <t>1. Forward-Multiple Approach: Y5 ARR (from Cloud Model P&amp;L) × industry multiple, less ANZ discount, discounted to PV at early-stage rate. Standard for SaaS.</t>
        </is>
      </c>
    </row>
    <row r="87" ht="18" customHeight="1" s="277">
      <c r="B87" s="296" t="inlineStr">
        <is>
          <t>2. Strategic Premium: NPV of LSC-specific value capture (hardware margin × attribution + accelerant + panels), portion passed to PCo per negotiation.</t>
        </is>
      </c>
    </row>
    <row r="88" ht="18" customHeight="1" s="277">
      <c r="B88" s="296" t="inlineStr">
        <is>
          <t>3. Three cases: Conservative (low multiple + LSC keeps most synergy), Base (mid + 50/50 split), Aggressive (high + PCo keeps most synergy).</t>
        </is>
      </c>
    </row>
    <row r="89" ht="18" customHeight="1" s="277">
      <c r="B89" s="296" t="inlineStr">
        <is>
          <t>4. Output is a range, not a point. Negotiation range, not a fair value finding.</t>
        </is>
      </c>
    </row>
    <row r="92">
      <c r="B92" s="109" t="inlineStr">
        <is>
          <t>ACaaS / CLOUD ACCESS CONTROL — DIRECT COMP TRANSACTIONS</t>
        </is>
      </c>
      <c r="C92" s="109" t="n"/>
      <c r="D92" s="109" t="n"/>
      <c r="E92" s="109" t="n"/>
      <c r="F92" s="109" t="n"/>
      <c r="G92" s="109" t="n"/>
      <c r="H92" s="109" t="n"/>
    </row>
    <row r="93">
      <c r="B93" s="59" t="inlineStr">
        <is>
          <t>Company</t>
        </is>
      </c>
      <c r="C93" s="82" t="inlineStr">
        <is>
          <t>Year</t>
        </is>
      </c>
      <c r="D93" s="82" t="inlineStr">
        <is>
          <t>Revenue/ARR</t>
        </is>
      </c>
      <c r="E93" s="82" t="inlineStr">
        <is>
          <t>Valuation</t>
        </is>
      </c>
      <c r="F93" s="82" t="inlineStr">
        <is>
          <t>Multiple</t>
        </is>
      </c>
      <c r="H93" s="59" t="inlineStr">
        <is>
          <t>Notes</t>
        </is>
      </c>
    </row>
    <row r="94" ht="23.15" customHeight="1" s="277">
      <c r="B94" t="inlineStr">
        <is>
          <t>Verkada</t>
        </is>
      </c>
      <c r="C94" t="inlineStr">
        <is>
          <t>2025</t>
        </is>
      </c>
      <c r="D94" s="110" t="n">
        <v>1000000000</v>
      </c>
      <c r="E94" s="110" t="n">
        <v>5800000000</v>
      </c>
      <c r="F94" s="111" t="n">
        <v>5.8</v>
      </c>
      <c r="H94" s="112" t="inlineStr">
        <is>
          <t>CapitalG round; AI-driven security; rapid growth ($357M rev 2024 → $1B ARR by Dec 2025)</t>
        </is>
      </c>
    </row>
    <row r="95" ht="23.15" customHeight="1" s="277">
      <c r="B95" t="inlineStr">
        <is>
          <t>Brivo</t>
        </is>
      </c>
      <c r="C95" t="inlineStr">
        <is>
          <t>2021</t>
        </is>
      </c>
      <c r="D95" s="110" t="n">
        <v>73400000</v>
      </c>
      <c r="E95" s="110" t="n">
        <v>808000000</v>
      </c>
      <c r="F95" s="111" t="n">
        <v>11</v>
      </c>
      <c r="H95" s="112" t="inlineStr">
        <is>
          <t>SPAC merger w/ Crown PropTech; smart building ACaaS; closest comp by stage</t>
        </is>
      </c>
    </row>
    <row r="96" ht="23.15" customHeight="1" s="277">
      <c r="B96" s="113" t="inlineStr">
        <is>
          <t>Openpath</t>
        </is>
      </c>
      <c r="C96" s="113" t="inlineStr">
        <is>
          <t>2021</t>
        </is>
      </c>
      <c r="D96" s="114" t="n">
        <v>30000000</v>
      </c>
      <c r="E96" s="114" t="n">
        <v>333500000</v>
      </c>
      <c r="F96" s="115" t="n">
        <v>11.1</v>
      </c>
      <c r="G96" s="113" t="n"/>
      <c r="H96" s="116" t="inlineStr">
        <is>
          <t>Motorola acquisition ($297M-$370M with earn-outs); STRATEGIC ACQUIRER — most relevant precedent for LSC/PCo</t>
        </is>
      </c>
    </row>
    <row r="97">
      <c r="B97" t="inlineStr">
        <is>
          <t>Latch</t>
        </is>
      </c>
      <c r="C97" t="inlineStr">
        <is>
          <t>2021</t>
        </is>
      </c>
      <c r="E97" s="110" t="n">
        <v>1560000000</v>
      </c>
      <c r="H97" s="112" t="inlineStr">
        <is>
          <t>SPAC IPO via Tishman Speyer; smart locks + property mgmt</t>
        </is>
      </c>
    </row>
    <row r="98" ht="23.15" customHeight="1" s="277">
      <c r="B98" t="inlineStr">
        <is>
          <t>SwiftConnect</t>
        </is>
      </c>
      <c r="C98" t="inlineStr">
        <is>
          <t>2024</t>
        </is>
      </c>
      <c r="H98" s="112" t="inlineStr">
        <is>
          <t>Series B $37M (Nov 2024); acquired by Dormakaba Feb 2026 (strategic exit)</t>
        </is>
      </c>
    </row>
    <row r="99" ht="23.15" customHeight="1" s="277">
      <c r="B99" t="inlineStr">
        <is>
          <t>Kisi</t>
        </is>
      </c>
      <c r="C99" t="inlineStr">
        <is>
          <t>2024</t>
        </is>
      </c>
      <c r="D99" s="110" t="n">
        <v>4000000</v>
      </c>
      <c r="H99" s="112" t="inlineStr">
        <is>
          <t>Bootstrapped, declining revenue ($6.7M 2021 → $4M 2024); downside comp</t>
        </is>
      </c>
    </row>
    <row r="101">
      <c r="B101" s="109" t="inlineStr">
        <is>
          <t>MARKET CONTEXT</t>
        </is>
      </c>
      <c r="C101" s="109" t="n"/>
      <c r="D101" s="109" t="n"/>
      <c r="E101" s="109" t="n"/>
      <c r="F101" s="109" t="n"/>
      <c r="G101" s="109" t="n"/>
      <c r="H101" s="109" t="n"/>
    </row>
    <row r="102" ht="20.05" customHeight="1" s="277">
      <c r="B102" s="297" t="inlineStr">
        <is>
          <t>ACaaS market 2024: ~$1.34B; forecast $3.06B by 2029 (17.9% CAGR per MarketsandMarkets) or $10.3B by 2032 (22.6% CAGR per SNS Insider)</t>
        </is>
      </c>
    </row>
    <row r="103" ht="20.05" customHeight="1" s="277">
      <c r="B103" s="297" t="inlineStr">
        <is>
          <t>Cloud security &amp; IAM among top VC categories in 2025-26; SaaS Series A median ~$12M in 2025</t>
        </is>
      </c>
    </row>
    <row r="104" ht="20.05" customHeight="1" s="277">
      <c r="B104" s="297" t="inlineStr">
        <is>
          <t>ASSA ABLOY acquired 3millID &amp; Third Millennium Systems (Jan 2025) — consolidation continues</t>
        </is>
      </c>
    </row>
    <row r="105" ht="20.05" customHeight="1" s="277">
      <c r="B105" s="297" t="inlineStr">
        <is>
          <t>Dormakaba acquired SwiftConnect (Feb 2026) — another hardware-incumbent absorbing cloud ACaaS, exact LSC playbook</t>
        </is>
      </c>
    </row>
    <row r="106" ht="20.05" customHeight="1" s="277">
      <c r="B106" s="297" t="inlineStr">
        <is>
          <t>Strategic acquirers (Motorola, ASSA ABLOY, Dormakaba, Allegion) consistently pay premium multiples for cloud-native ACaaS to defend hardware franchise</t>
        </is>
      </c>
    </row>
    <row r="108">
      <c r="B108" s="109" t="inlineStr">
        <is>
          <t>IMPLICATIONS FOR PRODUCTCO VALUATION</t>
        </is>
      </c>
      <c r="C108" s="109" t="n"/>
      <c r="D108" s="109" t="n"/>
      <c r="E108" s="109" t="n"/>
      <c r="F108" s="109" t="n"/>
      <c r="G108" s="109" t="n"/>
      <c r="H108" s="109" t="n"/>
    </row>
    <row r="109" ht="30" customHeight="1" s="277">
      <c r="B109" s="297" t="inlineStr">
        <is>
          <t>1. Direct ACaaS comps trade at 10-12x revenue (Brivo SPAC, Openpath strategic). PropTech vertical bucket (4-8x) UNDERSTATES the right multiple for ACaaS specifically.</t>
        </is>
      </c>
    </row>
    <row r="110" ht="30" customHeight="1" s="277">
      <c r="B110" s="297" t="inlineStr">
        <is>
          <t>2. The Openpath/Motorola deal is the closest available precedent: industrial/hardware incumbent buying cloud-native ACaaS startup. LSC -&gt; ProductCo is the same archetype.</t>
        </is>
      </c>
    </row>
    <row r="111" ht="30" customHeight="1" s="277">
      <c r="B111" s="297" t="inlineStr">
        <is>
          <t>3. SwiftConnect/Dormakaba (Feb 2026) confirms this pattern is current and active in Australia/global market.</t>
        </is>
      </c>
    </row>
    <row r="112" ht="30" customHeight="1" s="277">
      <c r="B112" s="297" t="inlineStr">
        <is>
          <t>4. RECOMMENDATION: Update the multiple range in row 10 (PropTech vertical) upward toward 6-10x to reflect ACaaS-specific data — see updated values below.</t>
        </is>
      </c>
    </row>
    <row r="115" ht="15.45" customHeight="1" s="277">
      <c r="B115" s="161" t="inlineStr">
        <is>
          <t>TIERED VALUATION — Product-mix specific multiples (vs blended above)</t>
        </is>
      </c>
    </row>
    <row r="116">
      <c r="B116" s="160" t="inlineStr">
        <is>
          <t>Standard SaaS, ACaaS, and Hardware each get the multiple they deserve. Pure SaaS = premium; HW = commodity.</t>
        </is>
      </c>
    </row>
    <row r="118">
      <c r="B118" s="174" t="inlineStr">
        <is>
          <t>Multiples by product line</t>
        </is>
      </c>
    </row>
    <row r="119">
      <c r="C119" s="175" t="inlineStr">
        <is>
          <t>Conservative</t>
        </is>
      </c>
      <c r="D119" s="175" t="inlineStr">
        <is>
          <t>Base</t>
        </is>
      </c>
      <c r="E119" s="175" t="inlineStr">
        <is>
          <t>Aggressive</t>
        </is>
      </c>
      <c r="G119" s="174" t="inlineStr">
        <is>
          <t>Source / Logic</t>
        </is>
      </c>
    </row>
    <row r="120">
      <c r="B120" t="inlineStr">
        <is>
          <t>Standard SaaS ARR (× multiple)</t>
        </is>
      </c>
      <c r="C120" s="176" t="n">
        <v>8</v>
      </c>
      <c r="D120" s="176" t="n">
        <v>10</v>
      </c>
      <c r="E120" s="176" t="n">
        <v>12</v>
      </c>
      <c r="G120" t="inlineStr">
        <is>
          <t>Premium SaaS comps: Verkada (~6x but mega-scale), Digital Asset Brokers AU mid-tier (8-10x)</t>
        </is>
      </c>
    </row>
    <row r="121">
      <c r="B121" t="inlineStr">
        <is>
          <t>ACaaS Recurring (× multiple)</t>
        </is>
      </c>
      <c r="C121" s="176" t="n">
        <v>5</v>
      </c>
      <c r="D121" s="176" t="n">
        <v>6</v>
      </c>
      <c r="E121" s="176" t="n">
        <v>7</v>
      </c>
      <c r="G121" t="inlineStr">
        <is>
          <t>Hardware-attached SaaS: Brivo 11x at scale, Openpath ~10x strategic — discount for early-stage execution risk</t>
        </is>
      </c>
    </row>
    <row r="122">
      <c r="B122" t="inlineStr">
        <is>
          <t>Hardware Revenue (× multiple)</t>
        </is>
      </c>
      <c r="C122" s="176" t="n">
        <v>1</v>
      </c>
      <c r="D122" s="176" t="n">
        <v>1.5</v>
      </c>
      <c r="E122" s="176" t="n">
        <v>2</v>
      </c>
      <c r="G122" t="inlineStr">
        <is>
          <t>Commodity hardware distribution; included for completeness, not premium</t>
        </is>
      </c>
    </row>
    <row r="124">
      <c r="B124" s="174" t="inlineStr">
        <is>
          <t>Y5 amounts (link to P&amp;L)</t>
        </is>
      </c>
    </row>
    <row r="125">
      <c r="B125" t="inlineStr">
        <is>
          <t xml:space="preserve">  Y5 Standard SaaS ARR</t>
        </is>
      </c>
      <c r="C125" s="177">
        <f>'5. P&amp;L'!G8</f>
        <v/>
      </c>
    </row>
    <row r="126">
      <c r="B126" t="inlineStr">
        <is>
          <t xml:space="preserve">  Y5 ACaaS ARR</t>
        </is>
      </c>
      <c r="C126" s="177">
        <f>'5. P&amp;L'!G9</f>
        <v/>
      </c>
    </row>
    <row r="127">
      <c r="B127" t="inlineStr">
        <is>
          <t xml:space="preserve">  Y5 Hardware Revenue</t>
        </is>
      </c>
      <c r="C127" s="177">
        <f>'5. P&amp;L'!G17</f>
        <v/>
      </c>
    </row>
    <row r="129">
      <c r="B129" s="174" t="inlineStr">
        <is>
          <t>Y5 Exit Value (Y5 amount × multiple)</t>
        </is>
      </c>
      <c r="C129" s="175" t="inlineStr">
        <is>
          <t>Conservative</t>
        </is>
      </c>
      <c r="D129" s="175" t="inlineStr">
        <is>
          <t>Base</t>
        </is>
      </c>
      <c r="E129" s="175" t="inlineStr">
        <is>
          <t>Aggressive</t>
        </is>
      </c>
    </row>
    <row r="130">
      <c r="B130" t="inlineStr">
        <is>
          <t xml:space="preserve">  Standard SaaS</t>
        </is>
      </c>
      <c r="C130" s="178">
        <f>$C$125*C120</f>
        <v/>
      </c>
      <c r="D130" s="178">
        <f>$C$125*D120</f>
        <v/>
      </c>
      <c r="E130" s="178">
        <f>$C$125*E120</f>
        <v/>
      </c>
    </row>
    <row r="131">
      <c r="B131" t="inlineStr">
        <is>
          <t xml:space="preserve">  ACaaS</t>
        </is>
      </c>
      <c r="C131" s="178">
        <f>$C$126*C121</f>
        <v/>
      </c>
      <c r="D131" s="178">
        <f>$C$126*D121</f>
        <v/>
      </c>
      <c r="E131" s="178">
        <f>$C$126*E121</f>
        <v/>
      </c>
    </row>
    <row r="132">
      <c r="B132" t="inlineStr">
        <is>
          <t xml:space="preserve">  Hardware</t>
        </is>
      </c>
      <c r="C132" s="178">
        <f>$C$127*C122</f>
        <v/>
      </c>
      <c r="D132" s="178">
        <f>$C$127*D122</f>
        <v/>
      </c>
      <c r="E132" s="178">
        <f>$C$127*E122</f>
        <v/>
      </c>
    </row>
    <row r="133">
      <c r="B133" s="174" t="inlineStr">
        <is>
          <t xml:space="preserve">  Total Y5 Exit (gross)</t>
        </is>
      </c>
      <c r="C133" s="179">
        <f>SUM(C130:C132)</f>
        <v/>
      </c>
      <c r="D133" s="179">
        <f>SUM(D130:D132)</f>
        <v/>
      </c>
      <c r="E133" s="179">
        <f>SUM(E130:E132)</f>
        <v/>
      </c>
    </row>
    <row r="135">
      <c r="B135" t="inlineStr">
        <is>
          <t>ANZ Buyer Discount</t>
        </is>
      </c>
      <c r="C135" s="180">
        <f>C13</f>
        <v/>
      </c>
      <c r="D135" s="180">
        <f>D13</f>
        <v/>
      </c>
      <c r="E135" s="180">
        <f>E13</f>
        <v/>
      </c>
    </row>
    <row r="136">
      <c r="B136" t="inlineStr">
        <is>
          <t>Y5 Exit (post-ANZ adjustment)</t>
        </is>
      </c>
      <c r="C136" s="181">
        <f>C133*(1-C135)</f>
        <v/>
      </c>
      <c r="D136" s="181">
        <f>D133*(1-D135)</f>
        <v/>
      </c>
      <c r="E136" s="181">
        <f>E133*(1-E135)</f>
        <v/>
      </c>
    </row>
    <row r="137">
      <c r="B137" t="inlineStr">
        <is>
          <t>Discount Rate (WACC)</t>
        </is>
      </c>
      <c r="C137" s="44">
        <f>E14</f>
        <v/>
      </c>
      <c r="D137" s="44">
        <f>D14</f>
        <v/>
      </c>
      <c r="E137" s="44">
        <f>C14</f>
        <v/>
      </c>
    </row>
    <row r="138">
      <c r="B138" t="inlineStr">
        <is>
          <t>Years to Exit</t>
        </is>
      </c>
      <c r="C138" s="182" t="n">
        <v>5</v>
      </c>
      <c r="D138" s="182" t="n">
        <v>5</v>
      </c>
      <c r="E138" s="182" t="n">
        <v>5</v>
      </c>
    </row>
    <row r="139">
      <c r="B139" s="174" t="inlineStr">
        <is>
          <t>PRE-MONEY (Tiered, Financial only)</t>
        </is>
      </c>
      <c r="C139" s="183">
        <f>C136/(1+C137)^C138</f>
        <v/>
      </c>
      <c r="D139" s="183">
        <f>D136/(1+D137)^D138</f>
        <v/>
      </c>
      <c r="E139" s="183">
        <f>E136/(1+E137)^E138</f>
        <v/>
      </c>
    </row>
    <row r="141">
      <c r="B141" s="174" t="inlineStr">
        <is>
          <t>COMPARISON — Tiered vs Blended Base Pre-Money</t>
        </is>
      </c>
    </row>
    <row r="142">
      <c r="B142" t="inlineStr">
        <is>
          <t xml:space="preserve">  Blended Base (row 55)</t>
        </is>
      </c>
      <c r="C142" s="181">
        <f>D55</f>
        <v/>
      </c>
    </row>
    <row r="143">
      <c r="B143" s="78" t="inlineStr">
        <is>
          <t xml:space="preserve">  Tiered Base (row 139)</t>
        </is>
      </c>
      <c r="C143" s="184">
        <f>D139</f>
        <v/>
      </c>
    </row>
    <row r="144">
      <c r="B144" t="inlineStr">
        <is>
          <t xml:space="preserve">  Tiered uplift</t>
        </is>
      </c>
      <c r="C144" s="181">
        <f>C143-C142</f>
        <v/>
      </c>
      <c r="D144" s="185">
        <f>C143/C142-1</f>
        <v/>
      </c>
    </row>
  </sheetData>
  <mergeCells count="23">
    <mergeCell ref="B84:H84"/>
    <mergeCell ref="B83:H83"/>
    <mergeCell ref="B104:H104"/>
    <mergeCell ref="B80:H80"/>
    <mergeCell ref="B89:H89"/>
    <mergeCell ref="B85:H85"/>
    <mergeCell ref="B36:H36"/>
    <mergeCell ref="B110:H110"/>
    <mergeCell ref="B106:H106"/>
    <mergeCell ref="B109:H109"/>
    <mergeCell ref="B3:H3"/>
    <mergeCell ref="B81:H81"/>
    <mergeCell ref="B102:H102"/>
    <mergeCell ref="B105:H105"/>
    <mergeCell ref="B77:H77"/>
    <mergeCell ref="B2:H2"/>
    <mergeCell ref="B86:H86"/>
    <mergeCell ref="B111:H111"/>
    <mergeCell ref="B88:H88"/>
    <mergeCell ref="B82:H82"/>
    <mergeCell ref="B87:H87"/>
    <mergeCell ref="B112:H112"/>
    <mergeCell ref="B103:H10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60"/>
  <sheetViews>
    <sheetView showGridLines="0" workbookViewId="0">
      <selection activeCell="A1" sqref="A1"/>
    </sheetView>
  </sheetViews>
  <sheetFormatPr baseColWidth="8" defaultRowHeight="14.6"/>
  <cols>
    <col width="2" customWidth="1" style="277" min="1" max="1"/>
    <col width="38" customWidth="1" style="277" min="2" max="2"/>
    <col width="16" customWidth="1" style="277" min="3" max="6"/>
    <col width="45" customWidth="1" style="277" min="7" max="7"/>
  </cols>
  <sheetData>
    <row r="2" ht="24" customHeight="1" s="277">
      <c r="B2" s="301" t="inlineStr">
        <is>
          <t>LSC INVESTMENT INTO PRODUCTCO — STRUCTURE</t>
        </is>
      </c>
    </row>
    <row r="3">
      <c r="B3" s="300" t="inlineStr">
        <is>
          <t>Yellow = inputs. Green = links to other sheets. Black = formulas.</t>
        </is>
      </c>
    </row>
    <row r="5">
      <c r="B5" s="54" t="inlineStr">
        <is>
          <t>LSC VALUATION INPUTS</t>
        </is>
      </c>
      <c r="C5" s="54" t="n"/>
      <c r="D5" s="54" t="n"/>
      <c r="E5" s="54" t="n"/>
      <c r="F5" s="54" t="n"/>
      <c r="G5" s="54" t="n"/>
    </row>
    <row r="6">
      <c r="B6" s="55" t="inlineStr">
        <is>
          <t>Annual Revenue</t>
        </is>
      </c>
      <c r="C6" s="56" t="n">
        <v>50000000</v>
      </c>
      <c r="G6" t="inlineStr">
        <is>
          <t>ESTIMATE — confirm with David</t>
        </is>
      </c>
    </row>
    <row r="7">
      <c r="B7" s="55" t="inlineStr">
        <is>
          <t>EBITDA</t>
        </is>
      </c>
      <c r="C7" s="56" t="n">
        <v>7500000</v>
      </c>
      <c r="G7" t="inlineStr">
        <is>
          <t>ESTIMATE — confirm with David</t>
        </is>
      </c>
    </row>
    <row r="8">
      <c r="B8" s="55" t="inlineStr">
        <is>
          <t>EBITDA Margin</t>
        </is>
      </c>
      <c r="C8" s="53">
        <f>C7/C6</f>
        <v/>
      </c>
      <c r="G8" t="inlineStr">
        <is>
          <t>Calculated</t>
        </is>
      </c>
    </row>
    <row r="9">
      <c r="B9" s="55" t="inlineStr">
        <is>
          <t>Industry Multiple</t>
        </is>
      </c>
      <c r="C9" s="57" t="n">
        <v>8</v>
      </c>
      <c r="G9" t="inlineStr">
        <is>
          <t>Distribution sector: 6-10x EBITDA</t>
        </is>
      </c>
    </row>
    <row r="10">
      <c r="B10" s="55" t="inlineStr">
        <is>
          <t>Enterprise Value</t>
        </is>
      </c>
      <c r="C10" s="58">
        <f>C7*C9</f>
        <v/>
      </c>
      <c r="G10" t="inlineStr">
        <is>
          <t>EBITDA × Multiple</t>
        </is>
      </c>
    </row>
    <row r="11">
      <c r="B11" s="55" t="inlineStr">
        <is>
          <t>Net Debt</t>
        </is>
      </c>
      <c r="C11" s="56" t="n">
        <v>5000000</v>
      </c>
      <c r="G11" t="inlineStr">
        <is>
          <t>ESTIMATE — confirm with David</t>
        </is>
      </c>
    </row>
    <row r="12">
      <c r="B12" s="59" t="inlineStr">
        <is>
          <t>LSC Equity Value</t>
        </is>
      </c>
      <c r="C12" s="60">
        <f>C10-C11</f>
        <v/>
      </c>
      <c r="G12" t="inlineStr">
        <is>
          <t>EV − Net Debt</t>
        </is>
      </c>
    </row>
    <row r="14">
      <c r="B14" s="98" t="inlineStr">
        <is>
          <t>PRODUCTCO PRE-MONEY (default = comp-based, override available)</t>
        </is>
      </c>
      <c r="C14" s="98" t="n"/>
      <c r="D14" s="98" t="n"/>
      <c r="E14" s="98" t="n"/>
      <c r="F14" s="98" t="n"/>
      <c r="G14" s="98" t="n"/>
    </row>
    <row r="15">
      <c r="B15" s="55" t="inlineStr">
        <is>
          <t>Comp-based Pre-Money — Base case (Valuation!D55)</t>
        </is>
      </c>
      <c r="C15" s="96">
        <f>'7. Valuation'!D55</f>
        <v/>
      </c>
      <c r="D15" s="55" t="n"/>
      <c r="E15" s="55" t="n"/>
      <c r="F15" s="55" t="n"/>
      <c r="G15" s="99" t="inlineStr">
        <is>
          <t>Recommended — see Valuation sheet for derivation</t>
        </is>
      </c>
    </row>
    <row r="16">
      <c r="B16" s="55" t="inlineStr">
        <is>
          <t>Comp-based — Conservative</t>
        </is>
      </c>
      <c r="C16" s="96">
        <f>'7. Valuation'!C55</f>
        <v/>
      </c>
      <c r="D16" s="55" t="n"/>
      <c r="E16" s="55" t="n"/>
      <c r="F16" s="55" t="n"/>
      <c r="G16" s="99" t="inlineStr">
        <is>
          <t>Low end of defensible range</t>
        </is>
      </c>
    </row>
    <row r="17">
      <c r="B17" s="55" t="inlineStr">
        <is>
          <t>Comp-based — Aggressive</t>
        </is>
      </c>
      <c r="C17" s="96">
        <f>'7. Valuation'!E55</f>
        <v/>
      </c>
      <c r="D17" s="55" t="n"/>
      <c r="E17" s="55" t="n"/>
      <c r="F17" s="55" t="n"/>
      <c r="G17" s="99" t="inlineStr">
        <is>
          <t>High end of defensible range</t>
        </is>
      </c>
    </row>
    <row r="18">
      <c r="B18" s="55" t="inlineStr">
        <is>
          <t>Override Pre-Money (set non-zero to use)</t>
        </is>
      </c>
      <c r="C18" s="100" t="n">
        <v>0</v>
      </c>
      <c r="D18" s="55" t="n"/>
      <c r="E18" s="55" t="n"/>
      <c r="F18" s="55" t="n"/>
      <c r="G18" s="99" t="inlineStr">
        <is>
          <t>Use for negotiating-position scenarios (e.g., LSC anchoring to $3.66M)</t>
        </is>
      </c>
    </row>
    <row r="19">
      <c r="B19" s="59" t="inlineStr">
        <is>
          <t>SELECTED PRE-MONEY (drives scenarios below)</t>
        </is>
      </c>
      <c r="C19" s="101">
        <f>IF(C18&gt;0,C18,C15)</f>
        <v/>
      </c>
      <c r="D19" s="55" t="n"/>
      <c r="E19" s="55" t="n"/>
      <c r="F19" s="55" t="n"/>
      <c r="G19" s="99" t="inlineStr">
        <is>
          <t>Override if set, else Base case</t>
        </is>
      </c>
    </row>
    <row r="20">
      <c r="B20" s="55" t="n"/>
      <c r="C20" s="55" t="n"/>
      <c r="D20" s="55" t="n"/>
      <c r="E20" s="55" t="n"/>
      <c r="F20" s="55" t="n"/>
      <c r="G20" s="55" t="n"/>
    </row>
    <row r="21">
      <c r="B21" s="55" t="inlineStr">
        <is>
          <t>Year 0 ARR (link)</t>
        </is>
      </c>
      <c r="C21" s="96">
        <f>'3. Assumptions'!B41</f>
        <v/>
      </c>
      <c r="D21" s="55" t="n"/>
      <c r="E21" s="55" t="n"/>
      <c r="F21" s="55" t="n"/>
      <c r="G21" s="55" t="n"/>
    </row>
    <row r="22">
      <c r="B22" s="55" t="inlineStr">
        <is>
          <t>Year 5 SaaS ARR (link)</t>
        </is>
      </c>
      <c r="C22" s="96">
        <f>'5. P&amp;L'!G7</f>
        <v/>
      </c>
      <c r="D22" s="55" t="n"/>
      <c r="E22" s="55" t="n"/>
      <c r="F22" s="55" t="n"/>
      <c r="G22" s="55" t="n"/>
    </row>
    <row r="23">
      <c r="B23" s="55" t="inlineStr">
        <is>
          <t>Implied multiple — Selected vs Y0 ARR</t>
        </is>
      </c>
      <c r="C23" s="102">
        <f>C19/C21</f>
        <v/>
      </c>
      <c r="D23" s="55" t="n"/>
      <c r="E23" s="55" t="n"/>
      <c r="F23" s="55" t="n"/>
      <c r="G23" s="55" t="n"/>
    </row>
    <row r="24">
      <c r="B24" s="55" t="inlineStr">
        <is>
          <t>Implied multiple — Selected vs Y5 ARR</t>
        </is>
      </c>
      <c r="C24" s="102">
        <f>C19/C22</f>
        <v/>
      </c>
      <c r="D24" s="55" t="n"/>
      <c r="E24" s="55" t="n"/>
      <c r="F24" s="55" t="n"/>
      <c r="G24" s="55" t="n"/>
    </row>
    <row r="25">
      <c r="B25" s="99" t="inlineStr">
        <is>
          <t>For reference: $5M LSC anchor</t>
        </is>
      </c>
      <c r="C25" s="103" t="n">
        <v>5000000</v>
      </c>
      <c r="D25" s="55" t="n"/>
      <c r="E25" s="55" t="n"/>
      <c r="F25" s="55" t="n"/>
      <c r="G25" s="55" t="n"/>
    </row>
    <row r="26">
      <c r="B26" s="99" t="inlineStr">
        <is>
          <t>Selected as % of $3.66M anchor</t>
        </is>
      </c>
      <c r="C26" s="104">
        <f>C19/C25</f>
        <v/>
      </c>
      <c r="D26" s="55" t="n"/>
      <c r="E26" s="55" t="n"/>
      <c r="F26" s="55" t="n"/>
      <c r="G26" s="55" t="n"/>
    </row>
    <row r="27">
      <c r="B27" s="54" t="inlineStr">
        <is>
          <t>EXIT ASSUMPTIONS</t>
        </is>
      </c>
      <c r="C27" s="54" t="n"/>
      <c r="D27" s="54" t="n"/>
      <c r="E27" s="54" t="n"/>
      <c r="F27" s="54" t="n"/>
      <c r="G27" s="54" t="n"/>
    </row>
    <row r="28">
      <c r="B28" s="55" t="inlineStr">
        <is>
          <t>Holding Period (years)</t>
        </is>
      </c>
      <c r="C28" s="64" t="n">
        <v>5</v>
      </c>
    </row>
    <row r="29">
      <c r="B29" s="55" t="inlineStr">
        <is>
          <t>LSC Annual Growth (equity value)</t>
        </is>
      </c>
      <c r="C29" s="63" t="n">
        <v>0.1</v>
      </c>
    </row>
    <row r="30">
      <c r="B30" s="55" t="inlineStr">
        <is>
          <t>LSC Equity Value at Exit</t>
        </is>
      </c>
      <c r="C30" s="58">
        <f>C12*(1+C29)^C28</f>
        <v/>
      </c>
    </row>
    <row r="31">
      <c r="B31" s="55" t="inlineStr">
        <is>
          <t>ProductCo Exit Value (Year N, from Valuation Base)</t>
        </is>
      </c>
      <c r="C31" s="105">
        <f>'7. Valuation'!D28</f>
        <v/>
      </c>
      <c r="G31" s="106" t="inlineStr">
        <is>
          <t>Base case Y5 exit (gross, pre-discount): Y5 ARR × 6x</t>
        </is>
      </c>
    </row>
    <row r="32">
      <c r="B32" s="55" t="inlineStr">
        <is>
          <t>Override ProductCo Exit (optional)</t>
        </is>
      </c>
      <c r="C32" s="56" t="n">
        <v>0</v>
      </c>
      <c r="G32" t="inlineStr">
        <is>
          <t>Enter non-zero to override the derived value</t>
        </is>
      </c>
    </row>
    <row r="33">
      <c r="B33" s="59" t="inlineStr">
        <is>
          <t>EFFECTIVE ProductCo Exit Value</t>
        </is>
      </c>
      <c r="C33" s="60">
        <f>IF(C32&gt;0,C32,C31)</f>
        <v/>
      </c>
    </row>
    <row r="34">
      <c r="B34" s="55" t="inlineStr">
        <is>
          <t>Future Dilution (Series A)</t>
        </is>
      </c>
      <c r="C34" s="63" t="n">
        <v>0.2</v>
      </c>
    </row>
    <row r="36">
      <c r="B36" s="54" t="inlineStr">
        <is>
          <t>INVESTMENT SCENARIOS</t>
        </is>
      </c>
      <c r="C36" s="54" t="n"/>
      <c r="D36" s="54" t="n"/>
      <c r="E36" s="54" t="n"/>
      <c r="F36" s="54" t="n"/>
      <c r="G36" s="54" t="n"/>
    </row>
    <row r="37">
      <c r="B37" s="59" t="inlineStr">
        <is>
          <t>Scenario</t>
        </is>
      </c>
      <c r="C37" s="65" t="inlineStr">
        <is>
          <t>A: All Cash</t>
        </is>
      </c>
      <c r="D37" s="65" t="inlineStr">
        <is>
          <t>B: Blended</t>
        </is>
      </c>
      <c r="E37" s="65" t="inlineStr">
        <is>
          <t>C: Equity Heavy</t>
        </is>
      </c>
      <c r="F37" s="65" t="inlineStr">
        <is>
          <t>D: Custom</t>
        </is>
      </c>
    </row>
    <row r="38">
      <c r="B38" s="55" t="inlineStr">
        <is>
          <t>Cash from LSC</t>
        </is>
      </c>
      <c r="C38" s="56" t="n">
        <v>2000000</v>
      </c>
      <c r="D38" s="56" t="n">
        <v>1500000</v>
      </c>
      <c r="E38" s="56" t="n">
        <v>750000</v>
      </c>
      <c r="F38" s="56" t="n">
        <v>1000000</v>
      </c>
    </row>
    <row r="39">
      <c r="B39" s="55" t="inlineStr">
        <is>
          <t>LSC Equity contributed</t>
        </is>
      </c>
      <c r="C39" s="56" t="n">
        <v>0</v>
      </c>
      <c r="D39" s="56" t="n">
        <v>500000</v>
      </c>
      <c r="E39" s="56" t="n">
        <v>1250000</v>
      </c>
      <c r="F39" s="56" t="n">
        <v>1000000</v>
      </c>
    </row>
    <row r="40">
      <c r="B40" s="59" t="inlineStr">
        <is>
          <t>Total Investment</t>
        </is>
      </c>
      <c r="C40" s="60">
        <f>C38+C39</f>
        <v/>
      </c>
      <c r="D40" s="60">
        <f>D38+D39</f>
        <v/>
      </c>
      <c r="E40" s="60">
        <f>E38+E39</f>
        <v/>
      </c>
      <c r="F40" s="60">
        <f>F38+F39</f>
        <v/>
      </c>
    </row>
    <row r="42">
      <c r="B42" s="55" t="inlineStr">
        <is>
          <t>ProductCo Pre-Money (link)</t>
        </is>
      </c>
      <c r="C42" s="96">
        <f>$C$19</f>
        <v/>
      </c>
      <c r="D42" s="96">
        <f>$C$19</f>
        <v/>
      </c>
      <c r="E42" s="96">
        <f>$C$19</f>
        <v/>
      </c>
      <c r="F42" s="96">
        <f>$C$19</f>
        <v/>
      </c>
    </row>
    <row r="43">
      <c r="B43" s="55" t="inlineStr">
        <is>
          <t>Post-Money</t>
        </is>
      </c>
      <c r="C43" s="58">
        <f>C42+C40</f>
        <v/>
      </c>
      <c r="D43" s="58">
        <f>D42+D40</f>
        <v/>
      </c>
      <c r="E43" s="58">
        <f>E42+E40</f>
        <v/>
      </c>
      <c r="F43" s="58">
        <f>F42+F40</f>
        <v/>
      </c>
    </row>
    <row r="44">
      <c r="B44" s="55" t="inlineStr">
        <is>
          <t>LSC % of ProductCo (pre-dilution)</t>
        </is>
      </c>
      <c r="C44" s="53">
        <f>C40/C43</f>
        <v/>
      </c>
      <c r="D44" s="53">
        <f>D40/D43</f>
        <v/>
      </c>
      <c r="E44" s="53">
        <f>E40/E43</f>
        <v/>
      </c>
      <c r="F44" s="53">
        <f>F40/F43</f>
        <v/>
      </c>
    </row>
    <row r="45">
      <c r="B45" s="59" t="inlineStr">
        <is>
          <t>LSC % of ProductCo (post-dilution)</t>
        </is>
      </c>
      <c r="C45" s="66">
        <f>C44*(1-$C$34)</f>
        <v/>
      </c>
      <c r="D45" s="66">
        <f>D44*(1-$C$34)</f>
        <v/>
      </c>
      <c r="E45" s="66">
        <f>E44*(1-$C$34)</f>
        <v/>
      </c>
      <c r="F45" s="66">
        <f>F44*(1-$C$34)</f>
        <v/>
      </c>
    </row>
    <row r="47">
      <c r="B47" s="55" t="inlineStr">
        <is>
          <t>ProductCo's % of LSC</t>
        </is>
      </c>
      <c r="C47" s="53">
        <f>C39/$C$12</f>
        <v/>
      </c>
      <c r="D47" s="53">
        <f>D39/$C$12</f>
        <v/>
      </c>
      <c r="E47" s="53">
        <f>E39/$C$12</f>
        <v/>
      </c>
      <c r="F47" s="53">
        <f>F39/$C$12</f>
        <v/>
      </c>
    </row>
    <row r="49">
      <c r="B49" s="54" t="inlineStr">
        <is>
          <t>RUNWAY (Year 1 burn from selected Team Model)</t>
        </is>
      </c>
      <c r="C49" s="54" t="n"/>
      <c r="D49" s="54" t="n"/>
      <c r="E49" s="54" t="n"/>
      <c r="F49" s="54" t="n"/>
      <c r="G49" s="54" t="n"/>
    </row>
    <row r="50">
      <c r="B50" s="55" t="inlineStr">
        <is>
          <t>Year 1 Total Opex (link)</t>
        </is>
      </c>
      <c r="C50" s="61">
        <f>'Team Summary'!B22</f>
        <v/>
      </c>
      <c r="D50" s="61">
        <f>'Team Summary'!B22</f>
        <v/>
      </c>
      <c r="E50" s="61">
        <f>'Team Summary'!B22</f>
        <v/>
      </c>
      <c r="F50" s="61">
        <f>'Team Summary'!B22</f>
        <v/>
      </c>
    </row>
    <row r="51">
      <c r="B51" s="55" t="inlineStr">
        <is>
          <t>Monthly Burn</t>
        </is>
      </c>
      <c r="C51" s="58">
        <f>C50/12</f>
        <v/>
      </c>
      <c r="D51" s="58">
        <f>D50/12</f>
        <v/>
      </c>
      <c r="E51" s="58">
        <f>E50/12</f>
        <v/>
      </c>
      <c r="F51" s="58">
        <f>F50/12</f>
        <v/>
      </c>
    </row>
    <row r="52">
      <c r="B52" s="55" t="inlineStr">
        <is>
          <t>Cash Available</t>
        </is>
      </c>
      <c r="C52" s="58">
        <f>C38</f>
        <v/>
      </c>
      <c r="D52" s="58">
        <f>D38</f>
        <v/>
      </c>
      <c r="E52" s="58">
        <f>E38</f>
        <v/>
      </c>
      <c r="F52" s="58">
        <f>F38</f>
        <v/>
      </c>
    </row>
    <row r="53">
      <c r="B53" s="59" t="inlineStr">
        <is>
          <t>Runway (months)</t>
        </is>
      </c>
      <c r="C53" s="67">
        <f>C52/C51</f>
        <v/>
      </c>
      <c r="D53" s="67">
        <f>D52/D51</f>
        <v/>
      </c>
      <c r="E53" s="67">
        <f>E52/E51</f>
        <v/>
      </c>
      <c r="F53" s="67">
        <f>F52/F51</f>
        <v/>
      </c>
    </row>
    <row r="54">
      <c r="B54" s="55" t="inlineStr">
        <is>
          <t>Runway (years)</t>
        </is>
      </c>
      <c r="C54" s="68">
        <f>C53/12</f>
        <v/>
      </c>
      <c r="D54" s="68">
        <f>D53/12</f>
        <v/>
      </c>
      <c r="E54" s="68">
        <f>E53/12</f>
        <v/>
      </c>
      <c r="F54" s="68">
        <f>F53/12</f>
        <v/>
      </c>
    </row>
    <row r="56">
      <c r="B56" s="54" t="inlineStr">
        <is>
          <t>SELECTED SCENARIO (drives Cash Flow!C8)</t>
        </is>
      </c>
      <c r="C56" s="54" t="n"/>
      <c r="D56" s="54" t="n"/>
      <c r="E56" s="54" t="n"/>
      <c r="F56" s="54" t="n"/>
      <c r="G56" s="54" t="n"/>
    </row>
    <row r="57">
      <c r="B57" s="55" t="inlineStr">
        <is>
          <t>Dashboard selection</t>
        </is>
      </c>
      <c r="C57" s="69">
        <f>'2. Dashboard'!B8</f>
        <v/>
      </c>
    </row>
    <row r="58">
      <c r="B58" s="55" t="inlineStr">
        <is>
          <t>Selected Cash</t>
        </is>
      </c>
      <c r="C58" s="60">
        <f>IF($C$57="A",C38,IF($C$57="B",D38,IF($C$57="C",E38,F38)))</f>
        <v/>
      </c>
    </row>
    <row r="59">
      <c r="B59" s="55" t="inlineStr">
        <is>
          <t>Selected LSC Equity</t>
        </is>
      </c>
      <c r="C59" s="60">
        <f>IF($C$57="A",C39,IF($C$57="B",D39,IF($C$57="C",E39,F39)))</f>
        <v/>
      </c>
    </row>
    <row r="60">
      <c r="B60" s="55" t="inlineStr">
        <is>
          <t>Selected Runway (months)</t>
        </is>
      </c>
      <c r="C60" s="67">
        <f>IF($C$57="A",C53,IF($C$57="B",D53,IF($C$57="C",E53,F53)))</f>
        <v/>
      </c>
    </row>
  </sheetData>
  <mergeCells count="2">
    <mergeCell ref="B3:G3"/>
    <mergeCell ref="B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4.6"/>
  <cols>
    <col width="2" customWidth="1" style="277" min="1" max="1"/>
    <col width="42" customWidth="1" style="277" min="2" max="2"/>
    <col width="16" customWidth="1" style="277" min="3" max="6"/>
  </cols>
  <sheetData>
    <row r="2" ht="24" customHeight="1" s="277">
      <c r="B2" s="301" t="inlineStr">
        <is>
          <t>LSC INVESTMENT — RETURNS ANALYSIS</t>
        </is>
      </c>
    </row>
    <row r="4">
      <c r="B4" s="59" t="inlineStr">
        <is>
          <t>Scenario</t>
        </is>
      </c>
      <c r="C4" s="65" t="inlineStr">
        <is>
          <t>A: All Cash</t>
        </is>
      </c>
      <c r="D4" s="65" t="inlineStr">
        <is>
          <t>B: Blended</t>
        </is>
      </c>
      <c r="E4" s="65" t="inlineStr">
        <is>
          <t>C: Equity Heavy</t>
        </is>
      </c>
      <c r="F4" s="65" t="inlineStr">
        <is>
          <t>D: Custom</t>
        </is>
      </c>
    </row>
    <row r="6">
      <c r="B6" s="54" t="inlineStr">
        <is>
          <t>VALUES AT EXIT (Year N)</t>
        </is>
      </c>
      <c r="C6" s="54" t="n"/>
      <c r="D6" s="54" t="n"/>
      <c r="E6" s="54" t="n"/>
      <c r="F6" s="54" t="n"/>
    </row>
    <row r="7">
      <c r="B7" s="55" t="inlineStr">
        <is>
          <t>LSC stake in ProductCo (post-dilution)</t>
        </is>
      </c>
      <c r="C7" s="70">
        <f>'8. LSC Investment'!C45</f>
        <v/>
      </c>
      <c r="D7" s="70">
        <f>'8. LSC Investment'!D45</f>
        <v/>
      </c>
      <c r="E7" s="70">
        <f>'8. LSC Investment'!E45</f>
        <v/>
      </c>
      <c r="F7" s="70">
        <f>'8. LSC Investment'!F45</f>
        <v/>
      </c>
    </row>
    <row r="8">
      <c r="B8" s="55" t="inlineStr">
        <is>
          <t>ProductCo Exit Value</t>
        </is>
      </c>
      <c r="C8" s="61">
        <f>'8. LSC Investment'!$C$33</f>
        <v/>
      </c>
      <c r="D8" s="61">
        <f>'8. LSC Investment'!$C$33</f>
        <v/>
      </c>
      <c r="E8" s="61">
        <f>'8. LSC Investment'!$C$33</f>
        <v/>
      </c>
      <c r="F8" s="61">
        <f>'8. LSC Investment'!$C$33</f>
        <v/>
      </c>
    </row>
    <row r="9">
      <c r="B9" s="55" t="inlineStr">
        <is>
          <t>LSC stake value at exit</t>
        </is>
      </c>
      <c r="C9" s="60">
        <f>C7*C8</f>
        <v/>
      </c>
      <c r="D9" s="60">
        <f>D7*D8</f>
        <v/>
      </c>
      <c r="E9" s="60">
        <f>E7*E8</f>
        <v/>
      </c>
      <c r="F9" s="60">
        <f>F7*F8</f>
        <v/>
      </c>
    </row>
    <row r="11">
      <c r="B11" s="55" t="inlineStr">
        <is>
          <t>ProductCo's % of LSC</t>
        </is>
      </c>
      <c r="C11" s="70">
        <f>'8. LSC Investment'!C47</f>
        <v/>
      </c>
      <c r="D11" s="70">
        <f>'8. LSC Investment'!D47</f>
        <v/>
      </c>
      <c r="E11" s="70">
        <f>'8. LSC Investment'!E47</f>
        <v/>
      </c>
      <c r="F11" s="70">
        <f>'8. LSC Investment'!F47</f>
        <v/>
      </c>
    </row>
    <row r="12">
      <c r="B12" s="55" t="inlineStr">
        <is>
          <t>LSC Equity Value at Exit</t>
        </is>
      </c>
      <c r="C12" s="61">
        <f>'8. LSC Investment'!$C$30</f>
        <v/>
      </c>
      <c r="D12" s="61">
        <f>'8. LSC Investment'!$C$30</f>
        <v/>
      </c>
      <c r="E12" s="61">
        <f>'8. LSC Investment'!$C$30</f>
        <v/>
      </c>
      <c r="F12" s="61">
        <f>'8. LSC Investment'!$C$30</f>
        <v/>
      </c>
    </row>
    <row r="13">
      <c r="B13" s="55" t="inlineStr">
        <is>
          <t>ProductCo's stake in LSC at exit</t>
        </is>
      </c>
      <c r="C13" s="60">
        <f>C11*C12</f>
        <v/>
      </c>
      <c r="D13" s="60">
        <f>D11*D12</f>
        <v/>
      </c>
      <c r="E13" s="60">
        <f>E11*E12</f>
        <v/>
      </c>
      <c r="F13" s="60">
        <f>F11*F12</f>
        <v/>
      </c>
    </row>
    <row r="15">
      <c r="B15" s="54" t="inlineStr">
        <is>
          <t>LSC RETURNS (on ProductCo investment)</t>
        </is>
      </c>
      <c r="C15" s="54" t="n"/>
      <c r="D15" s="54" t="n"/>
      <c r="E15" s="54" t="n"/>
      <c r="F15" s="54" t="n"/>
    </row>
    <row r="16">
      <c r="B16" s="55" t="inlineStr">
        <is>
          <t>LSC Total Outlay</t>
        </is>
      </c>
      <c r="C16" s="61">
        <f>'8. LSC Investment'!C40</f>
        <v/>
      </c>
      <c r="D16" s="61">
        <f>'8. LSC Investment'!D40</f>
        <v/>
      </c>
      <c r="E16" s="61">
        <f>'8. LSC Investment'!E40</f>
        <v/>
      </c>
      <c r="F16" s="61">
        <f>'8. LSC Investment'!F40</f>
        <v/>
      </c>
    </row>
    <row r="17">
      <c r="B17" s="55" t="inlineStr">
        <is>
          <t>LSC Stake Value at Exit</t>
        </is>
      </c>
      <c r="C17" s="58">
        <f>C9</f>
        <v/>
      </c>
      <c r="D17" s="58">
        <f>D9</f>
        <v/>
      </c>
      <c r="E17" s="58">
        <f>E9</f>
        <v/>
      </c>
      <c r="F17" s="58">
        <f>F9</f>
        <v/>
      </c>
    </row>
    <row r="18">
      <c r="B18" s="59" t="inlineStr">
        <is>
          <t>MOIC</t>
        </is>
      </c>
      <c r="C18" s="71">
        <f>IFERROR(C17/C16,0)</f>
        <v/>
      </c>
      <c r="D18" s="71">
        <f>IFERROR(D17/D16,0)</f>
        <v/>
      </c>
      <c r="E18" s="71">
        <f>IFERROR(E17/E16,0)</f>
        <v/>
      </c>
      <c r="F18" s="71">
        <f>IFERROR(F17/F16,0)</f>
        <v/>
      </c>
    </row>
    <row r="19">
      <c r="B19" s="59" t="inlineStr">
        <is>
          <t>IRR</t>
        </is>
      </c>
      <c r="C19" s="66">
        <f>IFERROR((C17/C16)^(1/'8. LSC Investment'!$C$28)-1,0)</f>
        <v/>
      </c>
      <c r="D19" s="66">
        <f>IFERROR((D17/D16)^(1/'8. LSC Investment'!$C$28)-1,0)</f>
        <v/>
      </c>
      <c r="E19" s="66">
        <f>IFERROR((E17/E16)^(1/'8. LSC Investment'!$C$28)-1,0)</f>
        <v/>
      </c>
      <c r="F19" s="66">
        <f>IFERROR((F17/F16)^(1/'8. LSC Investment'!$C$28)-1,0)</f>
        <v/>
      </c>
    </row>
    <row r="21">
      <c r="B21" s="54" t="inlineStr">
        <is>
          <t>PRODUCTCO RETURNS (on LSC equity received)</t>
        </is>
      </c>
      <c r="C21" s="54" t="n"/>
      <c r="D21" s="54" t="n"/>
      <c r="E21" s="54" t="n"/>
      <c r="F21" s="54" t="n"/>
    </row>
    <row r="22">
      <c r="B22" s="55" t="inlineStr">
        <is>
          <t>LSC Equity received (today)</t>
        </is>
      </c>
      <c r="C22" s="61">
        <f>'8. LSC Investment'!C39</f>
        <v/>
      </c>
      <c r="D22" s="61">
        <f>'8. LSC Investment'!D39</f>
        <v/>
      </c>
      <c r="E22" s="61">
        <f>'8. LSC Investment'!E39</f>
        <v/>
      </c>
      <c r="F22" s="61">
        <f>'8. LSC Investment'!F39</f>
        <v/>
      </c>
    </row>
    <row r="23">
      <c r="B23" s="55" t="inlineStr">
        <is>
          <t>Value at Exit</t>
        </is>
      </c>
      <c r="C23" s="58">
        <f>C13</f>
        <v/>
      </c>
      <c r="D23" s="58">
        <f>D13</f>
        <v/>
      </c>
      <c r="E23" s="58">
        <f>E13</f>
        <v/>
      </c>
      <c r="F23" s="58">
        <f>F13</f>
        <v/>
      </c>
    </row>
    <row r="24">
      <c r="B24" s="55" t="inlineStr">
        <is>
          <t>MOIC</t>
        </is>
      </c>
      <c r="C24" s="62">
        <f>IFERROR(C23/C22,"N/A")</f>
        <v/>
      </c>
      <c r="D24" s="62">
        <f>IFERROR(D23/D22,"N/A")</f>
        <v/>
      </c>
      <c r="E24" s="62">
        <f>IFERROR(E23/E22,"N/A")</f>
        <v/>
      </c>
      <c r="F24" s="62">
        <f>IFERROR(F23/F22,"N/A")</f>
        <v/>
      </c>
    </row>
    <row r="25">
      <c r="B25" s="55" t="inlineStr">
        <is>
          <t>IRR</t>
        </is>
      </c>
      <c r="C25" s="53">
        <f>IFERROR((C23/C22)^(1/'8. LSC Investment'!$C$28)-1,"N/A")</f>
        <v/>
      </c>
      <c r="D25" s="53">
        <f>IFERROR((D23/D22)^(1/'8. LSC Investment'!$C$28)-1,"N/A")</f>
        <v/>
      </c>
      <c r="E25" s="53">
        <f>IFERROR((E23/E22)^(1/'8. LSC Investment'!$C$28)-1,"N/A")</f>
        <v/>
      </c>
      <c r="F25" s="53">
        <f>IFERROR((F23/F22)^(1/'8. LSC Investment'!$C$28)-1,"N/A")</f>
        <v/>
      </c>
    </row>
    <row r="27">
      <c r="B27" s="300" t="inlineStr">
        <is>
          <t>Note: LSC IRR on ProductCo stake is identical across scenarios because total investment ($2M) is constant.</t>
        </is>
      </c>
    </row>
    <row r="28">
      <c r="B28" s="300" t="inlineStr">
        <is>
          <t>ProductCo IRR on LSC equity = LSC growth rate (passive holding).</t>
        </is>
      </c>
    </row>
  </sheetData>
  <mergeCells count="3">
    <mergeCell ref="B2:F2"/>
    <mergeCell ref="B27:F27"/>
    <mergeCell ref="B28:F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0" workbookViewId="0">
      <selection activeCell="A1" sqref="A1"/>
    </sheetView>
  </sheetViews>
  <sheetFormatPr baseColWidth="8" defaultRowHeight="14.6"/>
  <cols>
    <col width="2" customWidth="1" style="277" min="1" max="1"/>
    <col width="26" customWidth="1" style="277" min="2" max="2"/>
    <col width="14" customWidth="1" style="277" min="3" max="8"/>
  </cols>
  <sheetData>
    <row r="2" ht="24" customHeight="1" s="277">
      <c r="B2" s="301" t="inlineStr">
        <is>
          <t>LSC INVESTMENT — SENSITIVITY</t>
        </is>
      </c>
    </row>
    <row r="4">
      <c r="B4" s="54" t="inlineStr">
        <is>
          <t>LSC EQUITY VALUE — Sensitivity to EBITDA × Multiple</t>
        </is>
      </c>
      <c r="C4" s="54" t="n"/>
      <c r="D4" s="54" t="n"/>
      <c r="E4" s="54" t="n"/>
      <c r="F4" s="54" t="n"/>
      <c r="G4" s="54" t="n"/>
      <c r="H4" s="54" t="n"/>
    </row>
    <row r="5">
      <c r="B5" s="55" t="inlineStr">
        <is>
          <t>Net Debt held constant at:</t>
        </is>
      </c>
      <c r="C5" s="61">
        <f>'8. LSC Investment'!C11</f>
        <v/>
      </c>
    </row>
    <row r="7">
      <c r="B7" s="59" t="inlineStr">
        <is>
          <t>EBITDA \ Multiple</t>
        </is>
      </c>
      <c r="D7" s="72" t="n">
        <v>6</v>
      </c>
      <c r="E7" s="72" t="n">
        <v>7</v>
      </c>
      <c r="F7" s="72" t="n">
        <v>8</v>
      </c>
      <c r="G7" s="72" t="n">
        <v>9</v>
      </c>
      <c r="H7" s="72" t="n">
        <v>10</v>
      </c>
    </row>
    <row r="8">
      <c r="C8" s="56" t="n">
        <v>5000000</v>
      </c>
      <c r="D8" s="58">
        <f>$C8*D$7-$C$5</f>
        <v/>
      </c>
      <c r="E8" s="58">
        <f>$C8*E$7-$C$5</f>
        <v/>
      </c>
      <c r="F8" s="58">
        <f>$C8*F$7-$C$5</f>
        <v/>
      </c>
      <c r="G8" s="58">
        <f>$C8*G$7-$C$5</f>
        <v/>
      </c>
      <c r="H8" s="58">
        <f>$C8*H$7-$C$5</f>
        <v/>
      </c>
    </row>
    <row r="9">
      <c r="C9" s="56" t="n">
        <v>6500000</v>
      </c>
      <c r="D9" s="58">
        <f>$C9*D$7-$C$5</f>
        <v/>
      </c>
      <c r="E9" s="58">
        <f>$C9*E$7-$C$5</f>
        <v/>
      </c>
      <c r="F9" s="58">
        <f>$C9*F$7-$C$5</f>
        <v/>
      </c>
      <c r="G9" s="58">
        <f>$C9*G$7-$C$5</f>
        <v/>
      </c>
      <c r="H9" s="58">
        <f>$C9*H$7-$C$5</f>
        <v/>
      </c>
    </row>
    <row r="10">
      <c r="C10" s="56" t="n">
        <v>7500000</v>
      </c>
      <c r="D10" s="58">
        <f>$C10*D$7-$C$5</f>
        <v/>
      </c>
      <c r="E10" s="58">
        <f>$C10*E$7-$C$5</f>
        <v/>
      </c>
      <c r="F10" s="73">
        <f>$C10*F$7-$C$5</f>
        <v/>
      </c>
      <c r="G10" s="58">
        <f>$C10*G$7-$C$5</f>
        <v/>
      </c>
      <c r="H10" s="58">
        <f>$C10*H$7-$C$5</f>
        <v/>
      </c>
    </row>
    <row r="11">
      <c r="C11" s="56" t="n">
        <v>9000000</v>
      </c>
      <c r="D11" s="58">
        <f>$C11*D$7-$C$5</f>
        <v/>
      </c>
      <c r="E11" s="58">
        <f>$C11*E$7-$C$5</f>
        <v/>
      </c>
      <c r="F11" s="58">
        <f>$C11*F$7-$C$5</f>
        <v/>
      </c>
      <c r="G11" s="58">
        <f>$C11*G$7-$C$5</f>
        <v/>
      </c>
      <c r="H11" s="58">
        <f>$C11*H$7-$C$5</f>
        <v/>
      </c>
    </row>
    <row r="12">
      <c r="C12" s="56" t="n">
        <v>11000000</v>
      </c>
      <c r="D12" s="58">
        <f>$C12*D$7-$C$5</f>
        <v/>
      </c>
      <c r="E12" s="58">
        <f>$C12*E$7-$C$5</f>
        <v/>
      </c>
      <c r="F12" s="58">
        <f>$C12*F$7-$C$5</f>
        <v/>
      </c>
      <c r="G12" s="58">
        <f>$C12*G$7-$C$5</f>
        <v/>
      </c>
      <c r="H12" s="58">
        <f>$C12*H$7-$C$5</f>
        <v/>
      </c>
    </row>
    <row r="13">
      <c r="B13" s="49" t="inlineStr">
        <is>
          <t>Highlighted = base case (7.5M EBITDA × 8x)</t>
        </is>
      </c>
    </row>
    <row r="15">
      <c r="B15" s="54" t="inlineStr">
        <is>
          <t>LSC IRR ON PRODUCTCO — Exit Value × Holding Period</t>
        </is>
      </c>
      <c r="C15" s="54" t="n"/>
      <c r="D15" s="54" t="n"/>
      <c r="E15" s="54" t="n"/>
      <c r="F15" s="54" t="n"/>
      <c r="G15" s="54" t="n"/>
      <c r="H15" s="54" t="n"/>
    </row>
    <row r="16">
      <c r="B16" s="49" t="inlineStr">
        <is>
          <t>Scenario A ($2M cash), post-dilution stake:</t>
        </is>
      </c>
      <c r="C16" s="70">
        <f>'8. LSC Investment'!C45</f>
        <v/>
      </c>
    </row>
    <row r="18">
      <c r="B18" s="59" t="inlineStr">
        <is>
          <t>Exit Value \ Years</t>
        </is>
      </c>
      <c r="D18" s="74" t="n">
        <v>3</v>
      </c>
      <c r="E18" s="74" t="n">
        <v>4</v>
      </c>
      <c r="F18" s="74" t="n">
        <v>5</v>
      </c>
      <c r="G18" s="74" t="n">
        <v>7</v>
      </c>
      <c r="H18" s="74" t="n">
        <v>10</v>
      </c>
    </row>
    <row r="19">
      <c r="C19" s="56" t="n">
        <v>10000000</v>
      </c>
      <c r="D19" s="53">
        <f>IFERROR(($C$16*$C19/'8. LSC Investment'!$C$40)^(1/D$18)-1,0)</f>
        <v/>
      </c>
      <c r="E19" s="53">
        <f>IFERROR(($C$16*$C19/'8. LSC Investment'!$C$40)^(1/E$18)-1,0)</f>
        <v/>
      </c>
      <c r="F19" s="53">
        <f>IFERROR(($C$16*$C19/'8. LSC Investment'!$C$40)^(1/F$18)-1,0)</f>
        <v/>
      </c>
      <c r="G19" s="53">
        <f>IFERROR(($C$16*$C19/'8. LSC Investment'!$C$40)^(1/G$18)-1,0)</f>
        <v/>
      </c>
      <c r="H19" s="53">
        <f>IFERROR(($C$16*$C19/'8. LSC Investment'!$C$40)^(1/H$18)-1,0)</f>
        <v/>
      </c>
    </row>
    <row r="20">
      <c r="C20" s="56" t="n">
        <v>20000000</v>
      </c>
      <c r="D20" s="53">
        <f>IFERROR(($C$16*$C20/'8. LSC Investment'!$C$40)^(1/D$18)-1,0)</f>
        <v/>
      </c>
      <c r="E20" s="53">
        <f>IFERROR(($C$16*$C20/'8. LSC Investment'!$C$40)^(1/E$18)-1,0)</f>
        <v/>
      </c>
      <c r="F20" s="53">
        <f>IFERROR(($C$16*$C20/'8. LSC Investment'!$C$40)^(1/F$18)-1,0)</f>
        <v/>
      </c>
      <c r="G20" s="53">
        <f>IFERROR(($C$16*$C20/'8. LSC Investment'!$C$40)^(1/G$18)-1,0)</f>
        <v/>
      </c>
      <c r="H20" s="53">
        <f>IFERROR(($C$16*$C20/'8. LSC Investment'!$C$40)^(1/H$18)-1,0)</f>
        <v/>
      </c>
    </row>
    <row r="21">
      <c r="C21" s="56" t="n">
        <v>30000000</v>
      </c>
      <c r="D21" s="53">
        <f>IFERROR(($C$16*$C21/'8. LSC Investment'!$C$40)^(1/D$18)-1,0)</f>
        <v/>
      </c>
      <c r="E21" s="53">
        <f>IFERROR(($C$16*$C21/'8. LSC Investment'!$C$40)^(1/E$18)-1,0)</f>
        <v/>
      </c>
      <c r="F21" s="75">
        <f>IFERROR(($C$16*$C21/'8. LSC Investment'!$C$40)^(1/F$18)-1,0)</f>
        <v/>
      </c>
      <c r="G21" s="53">
        <f>IFERROR(($C$16*$C21/'8. LSC Investment'!$C$40)^(1/G$18)-1,0)</f>
        <v/>
      </c>
      <c r="H21" s="53">
        <f>IFERROR(($C$16*$C21/'8. LSC Investment'!$C$40)^(1/H$18)-1,0)</f>
        <v/>
      </c>
    </row>
    <row r="22">
      <c r="C22" s="56" t="n">
        <v>50000000</v>
      </c>
      <c r="D22" s="53">
        <f>IFERROR(($C$16*$C22/'8. LSC Investment'!$C$40)^(1/D$18)-1,0)</f>
        <v/>
      </c>
      <c r="E22" s="53">
        <f>IFERROR(($C$16*$C22/'8. LSC Investment'!$C$40)^(1/E$18)-1,0)</f>
        <v/>
      </c>
      <c r="F22" s="53">
        <f>IFERROR(($C$16*$C22/'8. LSC Investment'!$C$40)^(1/F$18)-1,0)</f>
        <v/>
      </c>
      <c r="G22" s="53">
        <f>IFERROR(($C$16*$C22/'8. LSC Investment'!$C$40)^(1/G$18)-1,0)</f>
        <v/>
      </c>
      <c r="H22" s="53">
        <f>IFERROR(($C$16*$C22/'8. LSC Investment'!$C$40)^(1/H$18)-1,0)</f>
        <v/>
      </c>
    </row>
    <row r="23">
      <c r="C23" s="56" t="n">
        <v>100000000</v>
      </c>
      <c r="D23" s="53">
        <f>IFERROR(($C$16*$C23/'8. LSC Investment'!$C$40)^(1/D$18)-1,0)</f>
        <v/>
      </c>
      <c r="E23" s="53">
        <f>IFERROR(($C$16*$C23/'8. LSC Investment'!$C$40)^(1/E$18)-1,0)</f>
        <v/>
      </c>
      <c r="F23" s="53">
        <f>IFERROR(($C$16*$C23/'8. LSC Investment'!$C$40)^(1/F$18)-1,0)</f>
        <v/>
      </c>
      <c r="G23" s="53">
        <f>IFERROR(($C$16*$C23/'8. LSC Investment'!$C$40)^(1/G$18)-1,0)</f>
        <v/>
      </c>
      <c r="H23" s="53">
        <f>IFERROR(($C$16*$C23/'8. LSC Investment'!$C$40)^(1/H$18)-1,0)</f>
        <v/>
      </c>
    </row>
    <row r="24">
      <c r="B24" s="49" t="inlineStr">
        <is>
          <t>Highlighted = base case ($30M exit, 5 years)</t>
        </is>
      </c>
    </row>
    <row r="26">
      <c r="B26" s="54" t="inlineStr">
        <is>
          <t>PRODUCTCO EXIT — sensitivity to Y5 ARR multiple × discount rate</t>
        </is>
      </c>
      <c r="C26" s="54" t="n"/>
      <c r="D26" s="54" t="n"/>
      <c r="E26" s="54" t="n"/>
      <c r="F26" s="54" t="n"/>
      <c r="G26" s="54" t="n"/>
      <c r="H26" s="54" t="n"/>
    </row>
    <row r="27">
      <c r="B27" t="inlineStr">
        <is>
          <t>Year 5 SaaS ARR:</t>
        </is>
      </c>
      <c r="C27" s="61">
        <f>'5. P&amp;L'!G7</f>
        <v/>
      </c>
    </row>
    <row r="29">
      <c r="B29" s="59" t="inlineStr">
        <is>
          <t>ARR Mult \ Disc Rate</t>
        </is>
      </c>
      <c r="D29" s="76" t="n">
        <v>0.2</v>
      </c>
      <c r="E29" s="76" t="n">
        <v>0.25</v>
      </c>
      <c r="F29" s="76" t="n">
        <v>0.3</v>
      </c>
      <c r="G29" s="76" t="n">
        <v>0.35</v>
      </c>
      <c r="H29" s="76" t="n">
        <v>0.4</v>
      </c>
    </row>
    <row r="30">
      <c r="C30" s="57" t="n">
        <v>3</v>
      </c>
      <c r="D30" s="58">
        <f>$C$27*$C30/(1+D$29)^5</f>
        <v/>
      </c>
      <c r="E30" s="58">
        <f>$C$27*$C30/(1+E$29)^5</f>
        <v/>
      </c>
      <c r="F30" s="58">
        <f>$C$27*$C30/(1+F$29)^5</f>
        <v/>
      </c>
      <c r="G30" s="58">
        <f>$C$27*$C30/(1+G$29)^5</f>
        <v/>
      </c>
      <c r="H30" s="58">
        <f>$C$27*$C30/(1+H$29)^5</f>
        <v/>
      </c>
    </row>
    <row r="31">
      <c r="C31" s="57" t="n">
        <v>4</v>
      </c>
      <c r="D31" s="58">
        <f>$C$27*$C31/(1+D$29)^5</f>
        <v/>
      </c>
      <c r="E31" s="58">
        <f>$C$27*$C31/(1+E$29)^5</f>
        <v/>
      </c>
      <c r="F31" s="58">
        <f>$C$27*$C31/(1+F$29)^5</f>
        <v/>
      </c>
      <c r="G31" s="58">
        <f>$C$27*$C31/(1+G$29)^5</f>
        <v/>
      </c>
      <c r="H31" s="58">
        <f>$C$27*$C31/(1+H$29)^5</f>
        <v/>
      </c>
    </row>
    <row r="32">
      <c r="C32" s="57" t="n">
        <v>5</v>
      </c>
      <c r="D32" s="58">
        <f>$C$27*$C32/(1+D$29)^5</f>
        <v/>
      </c>
      <c r="E32" s="73">
        <f>$C$27*$C32/(1+E$29)^5</f>
        <v/>
      </c>
      <c r="F32" s="58">
        <f>$C$27*$C32/(1+F$29)^5</f>
        <v/>
      </c>
      <c r="G32" s="58">
        <f>$C$27*$C32/(1+G$29)^5</f>
        <v/>
      </c>
      <c r="H32" s="58">
        <f>$C$27*$C32/(1+H$29)^5</f>
        <v/>
      </c>
    </row>
    <row r="33">
      <c r="C33" s="57" t="n">
        <v>6</v>
      </c>
      <c r="D33" s="58">
        <f>$C$27*$C33/(1+D$29)^5</f>
        <v/>
      </c>
      <c r="E33" s="58">
        <f>$C$27*$C33/(1+E$29)^5</f>
        <v/>
      </c>
      <c r="F33" s="58">
        <f>$C$27*$C33/(1+F$29)^5</f>
        <v/>
      </c>
      <c r="G33" s="58">
        <f>$C$27*$C33/(1+G$29)^5</f>
        <v/>
      </c>
      <c r="H33" s="58">
        <f>$C$27*$C33/(1+H$29)^5</f>
        <v/>
      </c>
    </row>
    <row r="34">
      <c r="C34" s="57" t="n">
        <v>8</v>
      </c>
      <c r="D34" s="58">
        <f>$C$27*$C34/(1+D$29)^5</f>
        <v/>
      </c>
      <c r="E34" s="58">
        <f>$C$27*$C34/(1+E$29)^5</f>
        <v/>
      </c>
      <c r="F34" s="58">
        <f>$C$27*$C34/(1+F$29)^5</f>
        <v/>
      </c>
      <c r="G34" s="58">
        <f>$C$27*$C34/(1+G$29)^5</f>
        <v/>
      </c>
      <c r="H34" s="58">
        <f>$C$27*$C34/(1+H$29)^5</f>
        <v/>
      </c>
    </row>
    <row r="35">
      <c r="B35" s="300" t="inlineStr">
        <is>
          <t>Highlighted = base case (5x ARR, 30% discount). Compare to $3.66M hardcoded pre-money.</t>
        </is>
      </c>
    </row>
  </sheetData>
  <mergeCells count="2">
    <mergeCell ref="B35:H35"/>
    <mergeCell ref="B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"/>
  <sheetViews>
    <sheetView zoomScaleNormal="100" workbookViewId="0">
      <selection activeCell="E22" sqref="E22"/>
    </sheetView>
  </sheetViews>
  <sheetFormatPr baseColWidth="8" defaultColWidth="8.69140625" defaultRowHeight="14.6"/>
  <cols>
    <col width="30" customWidth="1" style="277" min="1" max="1"/>
    <col width="15" customWidth="1" style="277" min="2" max="7"/>
    <col width="20" customWidth="1" style="277" min="8" max="8"/>
  </cols>
  <sheetData>
    <row r="1" ht="17.25" customHeight="1" s="277">
      <c r="A1" s="35" t="inlineStr">
        <is>
          <t>REVENUE MODEL — Zezamii Cloud</t>
        </is>
      </c>
    </row>
    <row r="3" ht="15" customHeight="1" s="277">
      <c r="A3" s="20" t="inlineStr">
        <is>
          <t>Metric</t>
        </is>
      </c>
      <c r="B3" s="20" t="inlineStr">
        <is>
          <t>Year 0</t>
        </is>
      </c>
      <c r="C3" s="20" t="inlineStr">
        <is>
          <t>Year 1</t>
        </is>
      </c>
      <c r="D3" s="20" t="inlineStr">
        <is>
          <t>Year 2</t>
        </is>
      </c>
      <c r="E3" s="20" t="inlineStr">
        <is>
          <t>Year 3</t>
        </is>
      </c>
      <c r="F3" s="20" t="inlineStr">
        <is>
          <t>Year 4</t>
        </is>
      </c>
      <c r="G3" s="20" t="inlineStr">
        <is>
          <t>Year 5</t>
        </is>
      </c>
      <c r="H3" s="20" t="inlineStr">
        <is>
          <t>Notes</t>
        </is>
      </c>
    </row>
    <row r="4" ht="15" customHeight="1" s="277">
      <c r="A4" s="5" t="inlineStr">
        <is>
          <t>SITE GROWTH</t>
        </is>
      </c>
    </row>
    <row r="5" ht="15" customHeight="1" s="277">
      <c r="A5" t="inlineStr">
        <is>
          <t>New Sites (this year)</t>
        </is>
      </c>
      <c r="B5" s="6" t="n">
        <v>0</v>
      </c>
      <c r="C5" s="6">
        <f>IF('2. Dashboard'!$B$5="S",'3. Assumptions'!$B$28,IF('2. Dashboard'!$B$5="M",'3. Assumptions'!$B$29,'3. Assumptions'!$B$30))</f>
        <v/>
      </c>
      <c r="D5" s="6">
        <f>ROUND(C5*IF('2. Dashboard'!$B$5="S",'3. Assumptions'!$B$31,IF('2. Dashboard'!$B$5="M",'3. Assumptions'!$B$32,'3. Assumptions'!$B$33)),0)</f>
        <v/>
      </c>
      <c r="E5" s="6">
        <f>ROUND(D5*IF('2. Dashboard'!$B$5="S",'3. Assumptions'!$B$31,IF('2. Dashboard'!$B$5="M",'3. Assumptions'!$B$32,'3. Assumptions'!$B$33)),0)</f>
        <v/>
      </c>
      <c r="F5" s="6">
        <f>ROUND(E5*IF('2. Dashboard'!$B$5="S",'3. Assumptions'!$B$31,IF('2. Dashboard'!$B$5="M",'3. Assumptions'!$B$32,'3. Assumptions'!$B$33)),0)</f>
        <v/>
      </c>
      <c r="G5" s="6">
        <f>ROUND(F5*IF('2. Dashboard'!$B$5="S",'3. Assumptions'!$B$31,IF('2. Dashboard'!$B$5="M",'3. Assumptions'!$B$32,'3. Assumptions'!$B$33)),0)</f>
        <v/>
      </c>
      <c r="H5" t="inlineStr">
        <is>
          <t>Based on Dashboard scenario</t>
        </is>
      </c>
    </row>
    <row r="6" ht="15" customHeight="1" s="277">
      <c r="A6" t="inlineStr">
        <is>
          <t>Cumulative Sites</t>
        </is>
      </c>
      <c r="B6" s="6">
        <f>'3. Assumptions'!B40</f>
        <v/>
      </c>
      <c r="C6" s="6">
        <f>B6+C5-ROUND(B6*'3. Assumptions'!$B$35,0)</f>
        <v/>
      </c>
      <c r="D6" s="6">
        <f>C6+D5-ROUND(C6*'3. Assumptions'!$B$35,0)</f>
        <v/>
      </c>
      <c r="E6" s="6">
        <f>D6+E5-ROUND(D6*'3. Assumptions'!$B$35,0)</f>
        <v/>
      </c>
      <c r="F6" s="6">
        <f>E6+F5-ROUND(E6*'3. Assumptions'!$B$35,0)</f>
        <v/>
      </c>
      <c r="G6" s="6">
        <f>F6+G5-ROUND(F6*'3. Assumptions'!$B$35,0)</f>
        <v/>
      </c>
      <c r="H6" t="inlineStr">
        <is>
          <t>Incl. churn</t>
        </is>
      </c>
    </row>
    <row r="7" ht="15" customHeight="1" s="277">
      <c r="A7" t="inlineStr">
        <is>
          <t>Churned Sites</t>
        </is>
      </c>
      <c r="B7" s="6" t="n"/>
      <c r="C7" s="6">
        <f>ROUND(B6*'3. Assumptions'!$B$35,0)</f>
        <v/>
      </c>
      <c r="D7" s="6">
        <f>ROUND(C6*'3. Assumptions'!$B$35,0)</f>
        <v/>
      </c>
      <c r="E7" s="6">
        <f>ROUND(D6*'3. Assumptions'!$B$35,0)</f>
        <v/>
      </c>
      <c r="F7" s="6">
        <f>ROUND(E6*'3. Assumptions'!$B$35,0)</f>
        <v/>
      </c>
      <c r="G7" s="6">
        <f>ROUND(F6*'3. Assumptions'!$B$35,0)</f>
        <v/>
      </c>
    </row>
    <row r="9" ht="15" customHeight="1" s="277">
      <c r="A9" s="5" t="inlineStr">
        <is>
          <t>PARTNER MIX</t>
        </is>
      </c>
    </row>
    <row r="10" ht="15" customHeight="1" s="277">
      <c r="A10" t="inlineStr">
        <is>
          <t>Partner Level</t>
        </is>
      </c>
      <c r="C10" s="39" t="inlineStr">
        <is>
          <t>n/a (single margin)</t>
        </is>
      </c>
    </row>
    <row r="11" ht="15" customHeight="1" s="277">
      <c r="A11" t="inlineStr">
        <is>
          <t>Partner Margin %</t>
        </is>
      </c>
      <c r="C11" s="8">
        <f>'3. Assumptions'!$B$21</f>
        <v/>
      </c>
    </row>
    <row r="12" ht="15" customHeight="1" s="277">
      <c r="A12" t="inlineStr">
        <is>
          <t>Net to Zezamii %</t>
        </is>
      </c>
      <c r="C12" s="8">
        <f>1-C11</f>
        <v/>
      </c>
    </row>
    <row r="14" ht="15" customHeight="1" s="277">
      <c r="A14" s="5" t="inlineStr">
        <is>
          <t>SaaS REVENUE</t>
        </is>
      </c>
    </row>
    <row r="15" ht="15" customHeight="1" s="277">
      <c r="A15" t="inlineStr">
        <is>
          <t>Blended ARR per Site (retail)</t>
        </is>
      </c>
      <c r="B15" s="9" t="n"/>
      <c r="C15" s="9">
        <f>'4. Product Forecast'!$C$103</f>
        <v/>
      </c>
      <c r="D15" s="9">
        <f>C15*(1+'3. Assumptions'!$B$37)</f>
        <v/>
      </c>
      <c r="E15" s="9">
        <f>D15*(1+'3. Assumptions'!$B$37)</f>
        <v/>
      </c>
      <c r="F15" s="9">
        <f>E15*(1+'3. Assumptions'!$B$37)</f>
        <v/>
      </c>
      <c r="G15" s="9">
        <f>F15*(1+'3. Assumptions'!$B$37)</f>
        <v/>
      </c>
    </row>
    <row r="16" ht="15" customHeight="1" s="277">
      <c r="A16" t="inlineStr">
        <is>
          <t>Blended ARR per Site (net)</t>
        </is>
      </c>
      <c r="B16" s="9" t="n"/>
      <c r="C16" s="9">
        <f>C15*$C$12</f>
        <v/>
      </c>
      <c r="D16" s="9">
        <f>D15*$C$12</f>
        <v/>
      </c>
      <c r="E16" s="9">
        <f>E15*$C$12</f>
        <v/>
      </c>
      <c r="F16" s="9">
        <f>F15*$C$12</f>
        <v/>
      </c>
      <c r="G16" s="9">
        <f>G15*$C$12</f>
        <v/>
      </c>
    </row>
    <row r="18" ht="15" customHeight="1" s="277">
      <c r="A18" t="inlineStr">
        <is>
          <t>Standard Cloud ARR (new sites)</t>
        </is>
      </c>
      <c r="B18" s="9" t="n"/>
      <c r="C18" s="9">
        <f>IF(1&gt;='3. Assumptions'!$B$58, (C5-C66)*C16, C5*C16)</f>
        <v/>
      </c>
      <c r="D18" s="9">
        <f>IF(2&gt;='3. Assumptions'!$B$58, (D5-D66)*D16, D5*D16)</f>
        <v/>
      </c>
      <c r="E18" s="9">
        <f>IF(3&gt;='3. Assumptions'!$B$58, (E5-E66)*E16, E5*E16)</f>
        <v/>
      </c>
      <c r="F18" s="9">
        <f>IF(4&gt;='3. Assumptions'!$B$58, (F5-F66)*F16, F5*F16)</f>
        <v/>
      </c>
      <c r="G18" s="9">
        <f>IF(5&gt;='3. Assumptions'!$B$58, (G5-G66)*G16, G5*G16)</f>
        <v/>
      </c>
    </row>
    <row r="19" ht="15" customHeight="1" s="277">
      <c r="A19" t="inlineStr">
        <is>
          <t>Existing Site ARR (retained)</t>
        </is>
      </c>
      <c r="B19" s="9">
        <f>'3. Assumptions'!B41</f>
        <v/>
      </c>
      <c r="C19" s="9">
        <f>B19*(1-'3. Assumptions'!$B$35)*(1+'3. Assumptions'!$B$37)</f>
        <v/>
      </c>
      <c r="D19" s="9">
        <f>(C19+C18)*(1-'3. Assumptions'!$B$35)*(1+'3. Assumptions'!$B$37)</f>
        <v/>
      </c>
      <c r="E19" s="9">
        <f>(D19+D18)*(1-'3. Assumptions'!$B$35)*(1+'3. Assumptions'!$B$37)</f>
        <v/>
      </c>
      <c r="F19" s="9">
        <f>(E19+E18)*(1-'3. Assumptions'!$B$35)*(1+'3. Assumptions'!$B$37)</f>
        <v/>
      </c>
      <c r="G19" s="9">
        <f>(F19+F18)*(1-'3. Assumptions'!$B$35)*(1+'3. Assumptions'!$B$37)</f>
        <v/>
      </c>
    </row>
    <row r="20" ht="15" customHeight="1" s="277">
      <c r="A20" t="inlineStr">
        <is>
          <t>Churned ARR</t>
        </is>
      </c>
      <c r="B20" s="9" t="n"/>
      <c r="C20" s="9">
        <f>B19*'3. Assumptions'!$B$35</f>
        <v/>
      </c>
      <c r="D20" s="9">
        <f>(C19+C18)*'3. Assumptions'!$B$35</f>
        <v/>
      </c>
      <c r="E20" s="9">
        <f>(D19+D18)*'3. Assumptions'!$B$35</f>
        <v/>
      </c>
      <c r="F20" s="9">
        <f>(E19+E18)*'3. Assumptions'!$B$35</f>
        <v/>
      </c>
      <c r="G20" s="9">
        <f>(F19+F18)*'3. Assumptions'!$B$35</f>
        <v/>
      </c>
    </row>
    <row r="22" ht="15" customHeight="1" s="277">
      <c r="A22" t="inlineStr">
        <is>
          <t>Price Uplift (existing sites)</t>
        </is>
      </c>
      <c r="B22" s="9" t="n"/>
      <c r="C22" s="9" t="n">
        <v>0</v>
      </c>
      <c r="D22" s="9">
        <f>C19*'3. Assumptions'!$B$37</f>
        <v/>
      </c>
      <c r="E22" s="9">
        <f>D19*'3. Assumptions'!$B$37</f>
        <v/>
      </c>
      <c r="F22" s="9">
        <f>E19*'3. Assumptions'!$B$37</f>
        <v/>
      </c>
      <c r="G22" s="9">
        <f>F19*'3. Assumptions'!$B$37</f>
        <v/>
      </c>
    </row>
    <row r="25" ht="15" customHeight="1" s="277">
      <c r="A25" s="5" t="inlineStr">
        <is>
          <t>STANDARD CLOUD ARR</t>
        </is>
      </c>
      <c r="B25" s="9">
        <f>B19</f>
        <v/>
      </c>
      <c r="C25" s="9">
        <f>IF('2. Dashboard'!$B$5="S",'4. Product Forecast'!C25,IF('2. Dashboard'!$B$5="M",'4. Product Forecast'!C57,'4. Product Forecast'!C89)) + ('3. Assumptions'!$B$41 - '3. Assumptions'!$B$40 * (0.4*'3. Assumptions'!$B$5 + 0.35*'3. Assumptions'!$B$6 + 0.2*'3. Assumptions'!$B$7 + 0.05*'3. Assumptions'!$B$8) * (1-'3. Assumptions'!$B$21)) * (1-'3. Assumptions'!$B$35)^1 * (1+'3. Assumptions'!$B$37)^1</f>
        <v/>
      </c>
      <c r="D25" s="9">
        <f>IF('2. Dashboard'!$B$5="S",'4. Product Forecast'!D25,IF('2. Dashboard'!$B$5="M",'4. Product Forecast'!D57,'4. Product Forecast'!D89)) + ('3. Assumptions'!$B$41 - '3. Assumptions'!$B$40 * (0.4*'3. Assumptions'!$B$5 + 0.35*'3. Assumptions'!$B$6 + 0.2*'3. Assumptions'!$B$7 + 0.05*'3. Assumptions'!$B$8) * (1-'3. Assumptions'!$B$21)) * (1-'3. Assumptions'!$B$35)^2 * (1+'3. Assumptions'!$B$37)^2</f>
        <v/>
      </c>
      <c r="E25" s="9">
        <f>IF('2. Dashboard'!$B$5="S",'4. Product Forecast'!E25,IF('2. Dashboard'!$B$5="M",'4. Product Forecast'!E57,'4. Product Forecast'!E89)) + ('3. Assumptions'!$B$41 - '3. Assumptions'!$B$40 * (0.4*'3. Assumptions'!$B$5 + 0.35*'3. Assumptions'!$B$6 + 0.2*'3. Assumptions'!$B$7 + 0.05*'3. Assumptions'!$B$8) * (1-'3. Assumptions'!$B$21)) * (1-'3. Assumptions'!$B$35)^3 * (1+'3. Assumptions'!$B$37)^3</f>
        <v/>
      </c>
      <c r="F25" s="9">
        <f>IF('2. Dashboard'!$B$5="S",'4. Product Forecast'!F25,IF('2. Dashboard'!$B$5="M",'4. Product Forecast'!F57,'4. Product Forecast'!F89)) + ('3. Assumptions'!$B$41 - '3. Assumptions'!$B$40 * (0.4*'3. Assumptions'!$B$5 + 0.35*'3. Assumptions'!$B$6 + 0.2*'3. Assumptions'!$B$7 + 0.05*'3. Assumptions'!$B$8) * (1-'3. Assumptions'!$B$21)) * (1-'3. Assumptions'!$B$35)^4 * (1+'3. Assumptions'!$B$37)^4</f>
        <v/>
      </c>
      <c r="G25" s="9">
        <f>IF('2. Dashboard'!$B$5="S",'4. Product Forecast'!G25,IF('2. Dashboard'!$B$5="M",'4. Product Forecast'!G57,'4. Product Forecast'!G89)) + ('3. Assumptions'!$B$41 - '3. Assumptions'!$B$40 * (0.4*'3. Assumptions'!$B$5 + 0.35*'3. Assumptions'!$B$6 + 0.2*'3. Assumptions'!$B$7 + 0.05*'3. Assumptions'!$B$8) * (1-'3. Assumptions'!$B$21)) * (1-'3. Assumptions'!$B$35)^5 * (1+'3. Assumptions'!$B$37)^5</f>
        <v/>
      </c>
    </row>
    <row r="26" ht="15" customHeight="1" s="277">
      <c r="A26" t="inlineStr">
        <is>
          <t>ARR via LSC Channel</t>
        </is>
      </c>
      <c r="B26" s="9" t="n"/>
      <c r="C26" s="9">
        <f>C25*'3. Assumptions'!$B$80</f>
        <v/>
      </c>
      <c r="D26" s="9">
        <f>D25*'3. Assumptions'!$B$81</f>
        <v/>
      </c>
      <c r="E26" s="9">
        <f>E25*'3. Assumptions'!$B$82</f>
        <v/>
      </c>
      <c r="F26" s="9">
        <f>F25*'3. Assumptions'!$B$83</f>
        <v/>
      </c>
      <c r="G26" s="9">
        <f>G25*'3. Assumptions'!$B$84</f>
        <v/>
      </c>
      <c r="H26" t="inlineStr">
        <is>
          <t>Assumed LSC % of sales</t>
        </is>
      </c>
    </row>
    <row r="28" ht="15" customHeight="1" s="277">
      <c r="A28" s="5" t="inlineStr">
        <is>
          <t>HARDWARE REVENUE</t>
        </is>
      </c>
    </row>
    <row r="29" ht="15" customHeight="1" s="277">
      <c r="A29" t="inlineStr">
        <is>
          <t>Locks per New Site (blended)</t>
        </is>
      </c>
      <c r="C29" s="6">
        <f>'4. Product Forecast'!$C$104</f>
        <v/>
      </c>
      <c r="D29" s="6">
        <f>C29</f>
        <v/>
      </c>
      <c r="E29" s="6">
        <f>D29</f>
        <v/>
      </c>
      <c r="F29" s="6">
        <f>E29</f>
        <v/>
      </c>
      <c r="G29" s="6">
        <f>F29</f>
        <v/>
      </c>
    </row>
    <row r="30" ht="15" customHeight="1" s="277">
      <c r="A30" t="inlineStr">
        <is>
          <t>Hardware Revenue (new sites)</t>
        </is>
      </c>
      <c r="B30" s="9" t="n"/>
      <c r="C30" s="9">
        <f>C5*C29*'3. Assumptions'!$B$18</f>
        <v/>
      </c>
      <c r="D30" s="9">
        <f>D5*D29*'3. Assumptions'!$B$18</f>
        <v/>
      </c>
      <c r="E30" s="9">
        <f>E5*E29*'3. Assumptions'!$B$18</f>
        <v/>
      </c>
      <c r="F30" s="9">
        <f>F5*F29*'3. Assumptions'!$B$18</f>
        <v/>
      </c>
      <c r="G30" s="9">
        <f>G5*G29*'3. Assumptions'!$B$18</f>
        <v/>
      </c>
    </row>
    <row r="31" ht="15" customHeight="1" s="277">
      <c r="A31" t="inlineStr">
        <is>
          <t>Hardware Margin (pass-through)</t>
        </is>
      </c>
      <c r="B31" s="9" t="n"/>
      <c r="C31" s="9">
        <f>C30*0.15</f>
        <v/>
      </c>
      <c r="D31" s="9">
        <f>D30*0.15</f>
        <v/>
      </c>
      <c r="E31" s="9">
        <f>E30*0.15</f>
        <v/>
      </c>
      <c r="F31" s="9">
        <f>F30*0.15</f>
        <v/>
      </c>
      <c r="G31" s="9">
        <f>G30*0.15</f>
        <v/>
      </c>
      <c r="H31" s="51" t="inlineStr">
        <is>
          <t>Hardware margin = 25% Zezamii / 75% LSC (Assumptions!B22). Prior "15% vs 35%" note was mislabeled.</t>
        </is>
      </c>
    </row>
    <row r="33" ht="15" customHeight="1" s="277">
      <c r="A33" s="5" t="inlineStr">
        <is>
          <t>TOTAL REVENUE</t>
        </is>
      </c>
      <c r="B33" s="9" t="n"/>
      <c r="C33" s="9">
        <f>C25+C30</f>
        <v/>
      </c>
      <c r="D33" s="9">
        <f>D25+D30</f>
        <v/>
      </c>
      <c r="E33" s="9">
        <f>E25+E30</f>
        <v/>
      </c>
      <c r="F33" s="9">
        <f>F25+F30</f>
        <v/>
      </c>
      <c r="G33" s="9">
        <f>G25+G30</f>
        <v/>
      </c>
    </row>
    <row r="35" ht="15" customHeight="1" s="277">
      <c r="A35" s="5" t="inlineStr">
        <is>
          <t>GROWTH SCENARIO SUMMARY</t>
        </is>
      </c>
    </row>
    <row r="36" ht="15" customHeight="1" s="277">
      <c r="A36" t="inlineStr">
        <is>
          <t>Selected Scenario</t>
        </is>
      </c>
      <c r="C36">
        <f>'2. Dashboard'!B5</f>
        <v/>
      </c>
    </row>
    <row r="37" ht="15" customHeight="1" s="277">
      <c r="A37" t="inlineStr">
        <is>
          <t>Year 1 Sites</t>
        </is>
      </c>
      <c r="C37" s="6">
        <f>C5</f>
        <v/>
      </c>
    </row>
    <row r="38" ht="15" customHeight="1" s="277">
      <c r="A38" t="inlineStr">
        <is>
          <t>Growth Multiplier (selected)</t>
        </is>
      </c>
      <c r="C38">
        <f>IF('2. Dashboard'!$B$5="S",'3. Assumptions'!$B$31,IF('2. Dashboard'!$B$5="M",'3. Assumptions'!$B$32,'3. Assumptions'!$B$33))</f>
        <v/>
      </c>
    </row>
    <row r="39" ht="15" customHeight="1" s="277">
      <c r="A39" t="inlineStr">
        <is>
          <t>5-Year Total New Sites</t>
        </is>
      </c>
      <c r="C39">
        <f>SUM(C5:G5)</f>
        <v/>
      </c>
    </row>
    <row r="41" ht="15" customHeight="1" s="277">
      <c r="A41" s="5" t="inlineStr">
        <is>
          <t>LSC BASE CONTEXT</t>
        </is>
      </c>
    </row>
    <row r="42" ht="15" customHeight="1" s="277">
      <c r="A42" t="inlineStr">
        <is>
          <t>LSC B2B Sites (convertible)</t>
        </is>
      </c>
      <c r="C42" s="6">
        <f>'3. Assumptions'!B50</f>
        <v/>
      </c>
    </row>
    <row r="43" ht="15" customHeight="1" s="277">
      <c r="A43" t="inlineStr">
        <is>
          <t>Year 1-2 New Sites</t>
        </is>
      </c>
      <c r="C43">
        <f>C5+D5</f>
        <v/>
      </c>
    </row>
    <row r="44" ht="15" customHeight="1" s="277">
      <c r="A44" t="inlineStr">
        <is>
          <t>% of LSC Base Captured (Y1-2)</t>
        </is>
      </c>
      <c r="C44" s="52">
        <f>IF(C42&gt;0, C43/C42, 0)</f>
        <v/>
      </c>
      <c r="H44" s="51" t="inlineStr">
        <is>
          <t>WARNING: &gt;100% means projected sites exceed LSC convertible base — projections may be unrealistic vs LSC actual base</t>
        </is>
      </c>
    </row>
    <row r="46" ht="15" customHeight="1" s="277">
      <c r="A46" s="5" t="inlineStr">
        <is>
          <t>LSC VALUE CREATION</t>
        </is>
      </c>
    </row>
    <row r="47" ht="15" customHeight="1" s="277">
      <c r="A47" t="inlineStr">
        <is>
          <t>Locks Sold via Zezamii Sites</t>
        </is>
      </c>
      <c r="C47" s="265">
        <f>IF('2. Dashboard'!$B$5="S",'4. Product Forecast'!C28,IF('2. Dashboard'!$B$5="M",'4. Product Forecast'!C60,'4. Product Forecast'!C92))</f>
        <v/>
      </c>
      <c r="D47" s="265">
        <f>IF('2. Dashboard'!$B$5="S",'4. Product Forecast'!D28,IF('2. Dashboard'!$B$5="M",'4. Product Forecast'!D60,'4. Product Forecast'!D92))</f>
        <v/>
      </c>
      <c r="E47" s="265">
        <f>IF('2. Dashboard'!$B$5="S",'4. Product Forecast'!E28,IF('2. Dashboard'!$B$5="M",'4. Product Forecast'!E60,'4. Product Forecast'!E92))</f>
        <v/>
      </c>
      <c r="F47" s="265">
        <f>IF('2. Dashboard'!$B$5="S",'4. Product Forecast'!F28,IF('2. Dashboard'!$B$5="M",'4. Product Forecast'!F60,'4. Product Forecast'!F92))</f>
        <v/>
      </c>
      <c r="G47" s="265">
        <f>IF('2. Dashboard'!$B$5="S",'4. Product Forecast'!G28,IF('2. Dashboard'!$B$5="M",'4. Product Forecast'!G60,'4. Product Forecast'!G92))</f>
        <v/>
      </c>
      <c r="H47" t="inlineStr">
        <is>
          <t>New site locks</t>
        </is>
      </c>
    </row>
    <row r="48" ht="15" customHeight="1" s="277">
      <c r="A48" t="inlineStr">
        <is>
          <t>Accelerant Uplift (additional locks)</t>
        </is>
      </c>
      <c r="C48" s="6">
        <f>C47*'3. Assumptions'!$B$53</f>
        <v/>
      </c>
      <c r="D48" s="6">
        <f>D47*'3. Assumptions'!$B$53</f>
        <v/>
      </c>
      <c r="E48" s="6">
        <f>E47*'3. Assumptions'!$B$53</f>
        <v/>
      </c>
      <c r="F48" s="6">
        <f>F47*'3. Assumptions'!$B$53</f>
        <v/>
      </c>
      <c r="G48" s="6">
        <f>G47*'3. Assumptions'!$B$53</f>
        <v/>
      </c>
      <c r="H48" t="inlineStr">
        <is>
          <t>Extra locks due to Zezamii</t>
        </is>
      </c>
    </row>
    <row r="49" ht="15" customHeight="1" s="277">
      <c r="A49" s="5" t="inlineStr">
        <is>
          <t>Total Locks (with Zezamii effect)</t>
        </is>
      </c>
      <c r="C49" s="6">
        <f>C47+C48</f>
        <v/>
      </c>
      <c r="D49" s="6">
        <f>D47+D48</f>
        <v/>
      </c>
      <c r="E49" s="6">
        <f>E47+E48</f>
        <v/>
      </c>
      <c r="F49" s="6">
        <f>F47+F48</f>
        <v/>
      </c>
      <c r="G49" s="6">
        <f>G47+G48</f>
        <v/>
      </c>
    </row>
    <row r="51" ht="15" customHeight="1" s="277">
      <c r="A51" t="inlineStr">
        <is>
          <t>LSC Hardware Revenue (locks)</t>
        </is>
      </c>
      <c r="C51" s="181">
        <f>C49*'3. Assumptions'!$B$54</f>
        <v/>
      </c>
      <c r="D51" s="181">
        <f>D49*'3. Assumptions'!$B$54</f>
        <v/>
      </c>
      <c r="E51" s="181">
        <f>E49*'3. Assumptions'!$B$54</f>
        <v/>
      </c>
      <c r="F51" s="181">
        <f>F49*'3. Assumptions'!$B$54</f>
        <v/>
      </c>
      <c r="G51" s="181">
        <f>G49*'3. Assumptions'!$B$54</f>
        <v/>
      </c>
    </row>
    <row r="52" ht="15" customHeight="1" s="277">
      <c r="A52" s="5" t="inlineStr">
        <is>
          <t>LSC Hardware Margin</t>
        </is>
      </c>
      <c r="C52" s="181">
        <f>C51*'3. Assumptions'!$B$55</f>
        <v/>
      </c>
      <c r="D52" s="181">
        <f>D51*'3. Assumptions'!$B$55</f>
        <v/>
      </c>
      <c r="E52" s="181">
        <f>E51*'3. Assumptions'!$B$55</f>
        <v/>
      </c>
      <c r="F52" s="181">
        <f>F51*'3. Assumptions'!$B$55</f>
        <v/>
      </c>
      <c r="G52" s="181">
        <f>G51*'3. Assumptions'!$B$55</f>
        <v/>
      </c>
      <c r="H52" t="inlineStr">
        <is>
          <t>What LSC earns</t>
        </is>
      </c>
    </row>
    <row r="54" ht="15" customHeight="1" s="277">
      <c r="A54" s="5" t="inlineStr">
        <is>
          <t>VALUE FROM ACCELERANT ONLY</t>
        </is>
      </c>
      <c r="C54" s="181">
        <f>C48*'3. Assumptions'!$B$54*'3. Assumptions'!$B$55</f>
        <v/>
      </c>
      <c r="D54" s="181">
        <f>D48*'3. Assumptions'!$B$54*'3. Assumptions'!$B$55</f>
        <v/>
      </c>
      <c r="E54" s="181">
        <f>E48*'3. Assumptions'!$B$54*'3. Assumptions'!$B$55</f>
        <v/>
      </c>
      <c r="F54" s="181">
        <f>F48*'3. Assumptions'!$B$54*'3. Assumptions'!$B$55</f>
        <v/>
      </c>
      <c r="G54" s="181">
        <f>G48*'3. Assumptions'!$B$54*'3. Assumptions'!$B$55</f>
        <v/>
      </c>
      <c r="H54" t="inlineStr">
        <is>
          <t>Additional margin from Zezamii uplift</t>
        </is>
      </c>
    </row>
    <row r="56" ht="15" customHeight="1" s="277">
      <c r="A56" s="5" t="inlineStr">
        <is>
          <t>5-YEAR LSC VALUE SUMMARY</t>
        </is>
      </c>
    </row>
    <row r="57" ht="15" customHeight="1" s="277">
      <c r="A57" t="inlineStr">
        <is>
          <t>Total Locks Sold</t>
        </is>
      </c>
      <c r="C57" s="6">
        <f>SUM(C49:G49)</f>
        <v/>
      </c>
      <c r="D57" s="6" t="n"/>
      <c r="E57" s="6" t="n"/>
      <c r="F57" s="6" t="n"/>
      <c r="G57" s="6" t="n"/>
    </row>
    <row r="58" ht="15" customHeight="1" s="277">
      <c r="A58" t="inlineStr">
        <is>
          <t>Total LSC Hardware Revenue</t>
        </is>
      </c>
      <c r="C58" s="181">
        <f>SUM(C51:G51)</f>
        <v/>
      </c>
      <c r="D58" s="9" t="n"/>
      <c r="E58" s="9" t="n"/>
      <c r="F58" s="9" t="n"/>
      <c r="G58" s="9" t="n"/>
    </row>
    <row r="59" ht="15" customHeight="1" s="277">
      <c r="A59" t="inlineStr">
        <is>
          <t>Total LSC Hardware Margin</t>
        </is>
      </c>
      <c r="C59" s="181">
        <f>SUM(C52:G52)</f>
        <v/>
      </c>
      <c r="D59" s="9" t="n"/>
      <c r="E59" s="9" t="n"/>
      <c r="F59" s="9" t="n"/>
      <c r="G59" s="9" t="n"/>
    </row>
    <row r="60" ht="15" customHeight="1" s="277">
      <c r="A60" t="inlineStr">
        <is>
          <t>Margin from Accelerant Effect</t>
        </is>
      </c>
      <c r="C60" s="181">
        <f>SUM(C54:G54)</f>
        <v/>
      </c>
      <c r="D60" s="9" t="n"/>
      <c r="E60" s="9" t="n"/>
      <c r="F60" s="9" t="n"/>
      <c r="G60" s="9" t="n"/>
    </row>
    <row r="62" ht="15" customHeight="1" s="277">
      <c r="A62" s="5" t="inlineStr">
        <is>
          <t>ACaaS REVENUE (INTEGRATED PANEL)</t>
        </is>
      </c>
    </row>
    <row r="63" ht="15" customHeight="1" s="277">
      <c r="A63" t="inlineStr">
        <is>
          <t>ACaaS Available?</t>
        </is>
      </c>
      <c r="C63">
        <f>IF(1&gt;='3. Assumptions'!$B$58,"Yes","No")</f>
        <v/>
      </c>
      <c r="D63">
        <f>IF(2&gt;='3. Assumptions'!$B$58,"Yes","No")</f>
        <v/>
      </c>
      <c r="E63">
        <f>IF(3&gt;='3. Assumptions'!$B$58,"Yes","No")</f>
        <v/>
      </c>
      <c r="F63">
        <f>IF(4&gt;='3. Assumptions'!$B$58,"Yes","No")</f>
        <v/>
      </c>
      <c r="G63">
        <f>IF(5&gt;='3. Assumptions'!$B$58,"Yes","No")</f>
        <v/>
      </c>
    </row>
    <row r="64" ht="15" customHeight="1" s="277">
      <c r="A64" t="inlineStr">
        <is>
          <t>ACaaS Ramp Factor</t>
        </is>
      </c>
      <c r="C64" s="8">
        <f>IF(1&lt;'3. Assumptions'!$B$58,0,IF(1='3. Assumptions'!$B$58,'3. Assumptions'!$B$64,'3. Assumptions'!$B$65))</f>
        <v/>
      </c>
      <c r="D64" s="8">
        <f>IF(2&lt;'3. Assumptions'!$B$58,0,IF(2='3. Assumptions'!$B$58,'3. Assumptions'!$B$64,'3. Assumptions'!$B$65))</f>
        <v/>
      </c>
      <c r="E64" s="8">
        <f>IF(3&lt;'3. Assumptions'!$B$58,0,IF(3='3. Assumptions'!$B$58,'3. Assumptions'!$B$64,'3. Assumptions'!$B$65))</f>
        <v/>
      </c>
      <c r="F64" s="8">
        <f>IF(4&lt;'3. Assumptions'!$B$58,0,IF(4='3. Assumptions'!$B$58,'3. Assumptions'!$B$64,'3. Assumptions'!$B$65))</f>
        <v/>
      </c>
      <c r="G64" s="8">
        <f>IF(5&lt;'3. Assumptions'!$B$58,0,IF(5='3. Assumptions'!$B$58,'3. Assumptions'!$B$64,'3. Assumptions'!$B$65))</f>
        <v/>
      </c>
    </row>
    <row r="65" ht="15" customHeight="1" s="277">
      <c r="A65" t="inlineStr">
        <is>
          <t>New Sites (total)</t>
        </is>
      </c>
      <c r="C65" s="6">
        <f>C5</f>
        <v/>
      </c>
      <c r="D65" s="6">
        <f>D5</f>
        <v/>
      </c>
      <c r="E65" s="6">
        <f>E5</f>
        <v/>
      </c>
      <c r="F65" s="6">
        <f>F5</f>
        <v/>
      </c>
      <c r="G65" s="6">
        <f>G5</f>
        <v/>
      </c>
    </row>
    <row r="66" ht="15" customHeight="1" s="277">
      <c r="A66" t="inlineStr">
        <is>
          <t>ACaaS Sites (new)</t>
        </is>
      </c>
      <c r="C66" s="6">
        <f>ROUND(C65*'3. Assumptions'!$B$60*C64,0)</f>
        <v/>
      </c>
      <c r="D66" s="6">
        <f>ROUND(D65*'3. Assumptions'!$B$60*D64,0)</f>
        <v/>
      </c>
      <c r="E66" s="6">
        <f>ROUND(E65*'3. Assumptions'!$B$60*E64,0)</f>
        <v/>
      </c>
      <c r="F66" s="6">
        <f>ROUND(F65*'3. Assumptions'!$B$60*F64,0)</f>
        <v/>
      </c>
      <c r="G66" s="6">
        <f>ROUND(G65*'3. Assumptions'!$B$60*G64,0)</f>
        <v/>
      </c>
    </row>
    <row r="67" ht="15" customHeight="1" s="277">
      <c r="A67" t="inlineStr">
        <is>
          <t>Standard Cloud Sites (new)</t>
        </is>
      </c>
      <c r="C67" s="6">
        <f>C65-C66</f>
        <v/>
      </c>
      <c r="D67" s="6">
        <f>D65-D66</f>
        <v/>
      </c>
      <c r="E67" s="6">
        <f>E65-E66</f>
        <v/>
      </c>
      <c r="F67" s="6">
        <f>F65-F66</f>
        <v/>
      </c>
      <c r="G67" s="6">
        <f>G65-G66</f>
        <v/>
      </c>
    </row>
    <row r="69" ht="15" customHeight="1" s="277">
      <c r="A69" t="inlineStr">
        <is>
          <t>ACaaS ARR (new sites)</t>
        </is>
      </c>
      <c r="C69" s="9">
        <f>C66*'3. Assumptions'!$B$59</f>
        <v/>
      </c>
      <c r="D69" s="9">
        <f>D66*'3. Assumptions'!$B$59</f>
        <v/>
      </c>
      <c r="E69" s="9">
        <f>E66*'3. Assumptions'!$B$59</f>
        <v/>
      </c>
      <c r="F69" s="9">
        <f>F66*'3. Assumptions'!$B$59</f>
        <v/>
      </c>
      <c r="G69" s="9">
        <f>G66*'3. Assumptions'!$B$59</f>
        <v/>
      </c>
    </row>
    <row r="70" ht="15" customHeight="1" s="277">
      <c r="A70" t="inlineStr">
        <is>
          <t>ACaaS ARR (cumulative)</t>
        </is>
      </c>
      <c r="C70" s="9">
        <f>IF('2. Dashboard'!$B$5="S",'4. Product Forecast'!C24,IF('2. Dashboard'!$B$5="M",'4. Product Forecast'!C56,'4. Product Forecast'!C88))</f>
        <v/>
      </c>
      <c r="D70" s="9">
        <f>IF('2. Dashboard'!$B$5="S",'4. Product Forecast'!D24,IF('2. Dashboard'!$B$5="M",'4. Product Forecast'!D56,'4. Product Forecast'!D88))</f>
        <v/>
      </c>
      <c r="E70" s="9">
        <f>IF('2. Dashboard'!$B$5="S",'4. Product Forecast'!E24,IF('2. Dashboard'!$B$5="M",'4. Product Forecast'!E56,'4. Product Forecast'!E88))</f>
        <v/>
      </c>
      <c r="F70" s="9">
        <f>IF('2. Dashboard'!$B$5="S",'4. Product Forecast'!F24,IF('2. Dashboard'!$B$5="M",'4. Product Forecast'!F56,'4. Product Forecast'!F88))</f>
        <v/>
      </c>
      <c r="G70" s="9">
        <f>IF('2. Dashboard'!$B$5="S",'4. Product Forecast'!G24,IF('2. Dashboard'!$B$5="M",'4. Product Forecast'!G56,'4. Product Forecast'!G88))</f>
        <v/>
      </c>
    </row>
    <row r="72" ht="15" customHeight="1" s="277">
      <c r="A72" s="5" t="inlineStr">
        <is>
          <t>ACaaS Panel Hardware</t>
        </is>
      </c>
    </row>
    <row r="73" ht="15" customHeight="1" s="277">
      <c r="A73" t="inlineStr">
        <is>
          <t>Panels Sold</t>
        </is>
      </c>
      <c r="C73" s="6">
        <f>C66*'3. Assumptions'!$B$61</f>
        <v/>
      </c>
      <c r="D73" s="6">
        <f>D66*'3. Assumptions'!$B$61</f>
        <v/>
      </c>
      <c r="E73" s="6">
        <f>E66*'3. Assumptions'!$B$61</f>
        <v/>
      </c>
      <c r="F73" s="6">
        <f>F66*'3. Assumptions'!$B$61</f>
        <v/>
      </c>
      <c r="G73" s="6">
        <f>G66*'3. Assumptions'!$B$61</f>
        <v/>
      </c>
    </row>
    <row r="74" ht="15" customHeight="1" s="277">
      <c r="A74" t="inlineStr">
        <is>
          <t>Panel Revenue</t>
        </is>
      </c>
      <c r="C74" s="9">
        <f>C73*'3. Assumptions'!$B$62</f>
        <v/>
      </c>
      <c r="D74" s="9">
        <f>D73*'3. Assumptions'!$B$62</f>
        <v/>
      </c>
      <c r="E74" s="9">
        <f>E73*'3. Assumptions'!$B$62</f>
        <v/>
      </c>
      <c r="F74" s="9">
        <f>F73*'3. Assumptions'!$B$62</f>
        <v/>
      </c>
      <c r="G74" s="9">
        <f>G73*'3. Assumptions'!$B$62</f>
        <v/>
      </c>
    </row>
    <row r="75" ht="15" customHeight="1" s="277">
      <c r="A75" t="inlineStr">
        <is>
          <t>LSC Panel Margin</t>
        </is>
      </c>
      <c r="C75" s="9">
        <f>C74*'3. Assumptions'!$B$63</f>
        <v/>
      </c>
      <c r="D75" s="9">
        <f>D74*'3. Assumptions'!$B$63</f>
        <v/>
      </c>
      <c r="E75" s="9">
        <f>E74*'3. Assumptions'!$B$63</f>
        <v/>
      </c>
      <c r="F75" s="9">
        <f>F74*'3. Assumptions'!$B$63</f>
        <v/>
      </c>
      <c r="G75" s="9">
        <f>G74*'3. Assumptions'!$B$63</f>
        <v/>
      </c>
    </row>
    <row r="77" ht="15" customHeight="1" s="277">
      <c r="A77" s="5" t="inlineStr">
        <is>
          <t>COMBINED REVENUE SUMMARY</t>
        </is>
      </c>
    </row>
    <row r="78" ht="15" customHeight="1" s="277">
      <c r="A78" t="inlineStr">
        <is>
          <t>Standard Cloud ARR</t>
        </is>
      </c>
      <c r="C78" s="9">
        <f>C25</f>
        <v/>
      </c>
      <c r="D78" s="9">
        <f>D25</f>
        <v/>
      </c>
      <c r="E78" s="9">
        <f>E25</f>
        <v/>
      </c>
      <c r="F78" s="9">
        <f>F25</f>
        <v/>
      </c>
      <c r="G78" s="9">
        <f>G25</f>
        <v/>
      </c>
    </row>
    <row r="79" ht="15" customHeight="1" s="277">
      <c r="A79" t="inlineStr">
        <is>
          <t>ACaaS ARR</t>
        </is>
      </c>
      <c r="C79" s="9">
        <f>C70</f>
        <v/>
      </c>
      <c r="D79" s="9">
        <f>D70</f>
        <v/>
      </c>
      <c r="E79" s="9">
        <f>E70</f>
        <v/>
      </c>
      <c r="F79" s="9">
        <f>F70</f>
        <v/>
      </c>
      <c r="G79" s="9">
        <f>G70</f>
        <v/>
      </c>
    </row>
    <row r="80" ht="15" customHeight="1" s="277">
      <c r="A80" s="5" t="inlineStr">
        <is>
          <t>TOTAL PLATFORM ARR</t>
        </is>
      </c>
      <c r="C80" s="9">
        <f>C78+C79</f>
        <v/>
      </c>
      <c r="D80" s="9">
        <f>D78+D79</f>
        <v/>
      </c>
      <c r="E80" s="9">
        <f>E78+E79</f>
        <v/>
      </c>
      <c r="F80" s="9">
        <f>F78+F79</f>
        <v/>
      </c>
      <c r="G80" s="9">
        <f>G78+G79</f>
        <v/>
      </c>
    </row>
    <row r="82" ht="15" customHeight="1" s="277">
      <c r="A82" t="inlineStr">
        <is>
          <t>Lock Hardware Revenue</t>
        </is>
      </c>
      <c r="C82" s="9">
        <f>IF('2. Dashboard'!$B$5="S",'4. Product Forecast'!C29,IF('2. Dashboard'!$B$5="M",'4. Product Forecast'!C61,'4. Product Forecast'!C93))</f>
        <v/>
      </c>
      <c r="D82" s="9">
        <f>IF('2. Dashboard'!$B$5="S",'4. Product Forecast'!D29,IF('2. Dashboard'!$B$5="M",'4. Product Forecast'!D61,'4. Product Forecast'!D93))</f>
        <v/>
      </c>
      <c r="E82" s="9">
        <f>IF('2. Dashboard'!$B$5="S",'4. Product Forecast'!E29,IF('2. Dashboard'!$B$5="M",'4. Product Forecast'!E61,'4. Product Forecast'!E93))</f>
        <v/>
      </c>
      <c r="F82" s="9">
        <f>IF('2. Dashboard'!$B$5="S",'4. Product Forecast'!F29,IF('2. Dashboard'!$B$5="M",'4. Product Forecast'!F61,'4. Product Forecast'!F93))</f>
        <v/>
      </c>
      <c r="G82" s="9">
        <f>IF('2. Dashboard'!$B$5="S",'4. Product Forecast'!G29,IF('2. Dashboard'!$B$5="M",'4. Product Forecast'!G61,'4. Product Forecast'!G93))</f>
        <v/>
      </c>
    </row>
    <row r="83" ht="15" customHeight="1" s="277">
      <c r="A83" t="inlineStr">
        <is>
          <t>Panel Hardware Revenue</t>
        </is>
      </c>
      <c r="C83" s="9">
        <f>IF('2. Dashboard'!$B$5="S",'4. Product Forecast'!C31,IF('2. Dashboard'!$B$5="M",'4. Product Forecast'!C63,'4. Product Forecast'!C95))</f>
        <v/>
      </c>
      <c r="D83" s="9">
        <f>IF('2. Dashboard'!$B$5="S",'4. Product Forecast'!D31,IF('2. Dashboard'!$B$5="M",'4. Product Forecast'!D63,'4. Product Forecast'!D95))</f>
        <v/>
      </c>
      <c r="E83" s="9">
        <f>IF('2. Dashboard'!$B$5="S",'4. Product Forecast'!E31,IF('2. Dashboard'!$B$5="M",'4. Product Forecast'!E63,'4. Product Forecast'!E95))</f>
        <v/>
      </c>
      <c r="F83" s="9">
        <f>IF('2. Dashboard'!$B$5="S",'4. Product Forecast'!F31,IF('2. Dashboard'!$B$5="M",'4. Product Forecast'!F63,'4. Product Forecast'!F95))</f>
        <v/>
      </c>
      <c r="G83" s="9">
        <f>IF('2. Dashboard'!$B$5="S",'4. Product Forecast'!G31,IF('2. Dashboard'!$B$5="M",'4. Product Forecast'!G63,'4. Product Forecast'!G95))</f>
        <v/>
      </c>
    </row>
    <row r="84" ht="15" customHeight="1" s="277">
      <c r="A84" s="5" t="inlineStr">
        <is>
          <t>TOTAL HARDWARE REVENUE</t>
        </is>
      </c>
      <c r="C84" s="9">
        <f>C82+C83</f>
        <v/>
      </c>
      <c r="D84" s="9">
        <f>D82+D83</f>
        <v/>
      </c>
      <c r="E84" s="9">
        <f>E82+E83</f>
        <v/>
      </c>
      <c r="F84" s="9">
        <f>F82+F83</f>
        <v/>
      </c>
      <c r="G84" s="9">
        <f>G82+G83</f>
        <v/>
      </c>
    </row>
    <row r="86" ht="15" customHeight="1" s="277">
      <c r="A86" s="5" t="inlineStr">
        <is>
          <t>TOTAL REVENUE (SaaS + Hardware)</t>
        </is>
      </c>
      <c r="C86" s="9">
        <f>C80+C84</f>
        <v/>
      </c>
      <c r="D86" s="9">
        <f>D80+D84</f>
        <v/>
      </c>
      <c r="E86" s="9">
        <f>E80+E84</f>
        <v/>
      </c>
      <c r="F86" s="9">
        <f>F80+F84</f>
        <v/>
      </c>
      <c r="G86" s="9">
        <f>G80+G84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zoomScaleNormal="100" workbookViewId="0">
      <selection activeCell="C6" sqref="C6"/>
    </sheetView>
  </sheetViews>
  <sheetFormatPr baseColWidth="8" defaultColWidth="8.69140625" defaultRowHeight="14.6"/>
  <cols>
    <col width="25" customWidth="1" style="277" min="1" max="1"/>
    <col width="15" customWidth="1" style="277" min="2" max="9"/>
  </cols>
  <sheetData>
    <row r="1" ht="17.25" customHeight="1" s="277">
      <c r="A1" s="35" t="inlineStr">
        <is>
          <t>TEAM COSTS — Product Model (Lean)</t>
        </is>
      </c>
    </row>
    <row r="2" ht="15" customHeight="1" s="277">
      <c r="A2" s="7" t="inlineStr">
        <is>
          <t>Glenn + Kishan + Duvan at 100% allocation</t>
        </is>
      </c>
    </row>
    <row r="4" ht="15" customHeight="1" s="277">
      <c r="A4" s="20" t="inlineStr">
        <is>
          <t>Role</t>
        </is>
      </c>
      <c r="B4" s="20" t="inlineStr">
        <is>
          <t>Person</t>
        </is>
      </c>
      <c r="C4" s="20" t="inlineStr">
        <is>
          <t>Full Cost</t>
        </is>
      </c>
      <c r="D4" s="20" t="inlineStr">
        <is>
          <t>Allocation</t>
        </is>
      </c>
      <c r="E4" s="20" t="inlineStr">
        <is>
          <t>Year 1</t>
        </is>
      </c>
      <c r="F4" s="20" t="inlineStr">
        <is>
          <t>Year 2</t>
        </is>
      </c>
      <c r="G4" s="20" t="inlineStr">
        <is>
          <t>Year 3</t>
        </is>
      </c>
      <c r="H4" s="20" t="inlineStr">
        <is>
          <t>Year 4</t>
        </is>
      </c>
      <c r="I4" s="20" t="inlineStr">
        <is>
          <t>Year 5</t>
        </is>
      </c>
    </row>
    <row r="5" ht="15" customHeight="1" s="277">
      <c r="A5" t="inlineStr">
        <is>
          <t>Director</t>
        </is>
      </c>
      <c r="B5" t="inlineStr">
        <is>
          <t>Glenn</t>
        </is>
      </c>
      <c r="C5" s="36" t="n">
        <v>100000</v>
      </c>
      <c r="D5" s="39" t="n">
        <v>1</v>
      </c>
      <c r="E5" s="9">
        <f>C5*D5</f>
        <v/>
      </c>
      <c r="F5" s="9">
        <f>E5*(1+'3. Assumptions'!$B$36)</f>
        <v/>
      </c>
      <c r="G5" s="9">
        <f>F5*(1+'3. Assumptions'!$B$36)</f>
        <v/>
      </c>
      <c r="H5" s="9">
        <f>G5*(1+'3. Assumptions'!$B$36)</f>
        <v/>
      </c>
      <c r="I5" s="9">
        <f>H5*(1+'3. Assumptions'!$B$36)</f>
        <v/>
      </c>
    </row>
    <row r="6" ht="15" customHeight="1" s="277">
      <c r="A6" t="inlineStr">
        <is>
          <t>Head of Engineering</t>
        </is>
      </c>
      <c r="B6" t="inlineStr">
        <is>
          <t>Kishan</t>
        </is>
      </c>
      <c r="C6" s="36" t="n">
        <v>170000</v>
      </c>
      <c r="D6" s="39" t="n">
        <v>1</v>
      </c>
      <c r="E6" s="9">
        <f>C6*D6</f>
        <v/>
      </c>
      <c r="F6" s="9">
        <f>E6*(1+'3. Assumptions'!$B$36)</f>
        <v/>
      </c>
      <c r="G6" s="9">
        <f>F6*(1+'3. Assumptions'!$B$36)</f>
        <v/>
      </c>
      <c r="H6" s="9">
        <f>G6*(1+'3. Assumptions'!$B$36)</f>
        <v/>
      </c>
      <c r="I6" s="9">
        <f>H6*(1+'3. Assumptions'!$B$36)</f>
        <v/>
      </c>
    </row>
    <row r="7" ht="15" customHeight="1" s="277">
      <c r="A7" t="inlineStr">
        <is>
          <t>Fullstack Dev</t>
        </is>
      </c>
      <c r="B7" t="inlineStr">
        <is>
          <t>Duvan</t>
        </is>
      </c>
      <c r="C7" s="36" t="n">
        <v>110000</v>
      </c>
      <c r="D7" s="39" t="n">
        <v>1</v>
      </c>
      <c r="E7" s="9">
        <f>C7*D7</f>
        <v/>
      </c>
      <c r="F7" s="9">
        <f>E7*(1+'3. Assumptions'!$B$36)</f>
        <v/>
      </c>
      <c r="G7" s="9">
        <f>F7*(1+'3. Assumptions'!$B$36)</f>
        <v/>
      </c>
      <c r="H7" s="9">
        <f>G7*(1+'3. Assumptions'!$B$36)</f>
        <v/>
      </c>
      <c r="I7" s="9">
        <f>H7*(1+'3. Assumptions'!$B$36)</f>
        <v/>
      </c>
    </row>
    <row r="9" ht="15" customHeight="1" s="277">
      <c r="A9" s="5" t="inlineStr">
        <is>
          <t>TOTAL TEAM COST</t>
        </is>
      </c>
      <c r="E9" s="9">
        <f>SUM(E5:E7)</f>
        <v/>
      </c>
      <c r="F9" s="9">
        <f>SUM(F5:F7)</f>
        <v/>
      </c>
      <c r="G9" s="9">
        <f>SUM(G5:G7)</f>
        <v/>
      </c>
      <c r="H9" s="9">
        <f>SUM(H5:H7)</f>
        <v/>
      </c>
      <c r="I9" s="9">
        <f>SUM(I5:I7)</f>
        <v/>
      </c>
    </row>
    <row r="11" ht="15" customHeight="1" s="277">
      <c r="A11" s="5" t="inlineStr">
        <is>
          <t>OTHER OPERATING COSTS</t>
        </is>
      </c>
    </row>
    <row r="12" ht="15" customHeight="1" s="277">
      <c r="A12" t="inlineStr">
        <is>
          <t>Rent &amp; Facilities</t>
        </is>
      </c>
      <c r="B12" s="36" t="n">
        <v>52000</v>
      </c>
      <c r="E12" s="9">
        <f>B12</f>
        <v/>
      </c>
      <c r="F12" s="9">
        <f>E12*(1+'3. Assumptions'!$B$37)</f>
        <v/>
      </c>
      <c r="G12" s="9">
        <f>F12*(1+'3. Assumptions'!$B$37)</f>
        <v/>
      </c>
      <c r="H12" s="9">
        <f>G12*(1+'3. Assumptions'!$B$37)</f>
        <v/>
      </c>
      <c r="I12" s="9">
        <f>H12*(1+'3. Assumptions'!$B$37)</f>
        <v/>
      </c>
    </row>
    <row r="13" ht="15" customHeight="1" s="277">
      <c r="A13" t="inlineStr">
        <is>
          <t>Software &amp; Subscriptions</t>
        </is>
      </c>
      <c r="B13" s="36" t="n">
        <v>40000</v>
      </c>
      <c r="E13" s="9">
        <f>B13</f>
        <v/>
      </c>
      <c r="F13" s="9">
        <f>E13*(1+'3. Assumptions'!$B$37)</f>
        <v/>
      </c>
      <c r="G13" s="9">
        <f>F13*(1+'3. Assumptions'!$B$37)</f>
        <v/>
      </c>
      <c r="H13" s="9">
        <f>G13*(1+'3. Assumptions'!$B$37)</f>
        <v/>
      </c>
      <c r="I13" s="9">
        <f>H13*(1+'3. Assumptions'!$B$37)</f>
        <v/>
      </c>
    </row>
    <row r="14" ht="15" customHeight="1" s="277">
      <c r="A14" t="inlineStr">
        <is>
          <t>Insurance</t>
        </is>
      </c>
      <c r="B14" s="36" t="n">
        <v>12000</v>
      </c>
      <c r="E14" s="9">
        <f>B14</f>
        <v/>
      </c>
      <c r="F14" s="9">
        <f>E14*(1+'3. Assumptions'!$B$37)</f>
        <v/>
      </c>
      <c r="G14" s="9">
        <f>F14*(1+'3. Assumptions'!$B$37)</f>
        <v/>
      </c>
      <c r="H14" s="9">
        <f>G14*(1+'3. Assumptions'!$B$37)</f>
        <v/>
      </c>
      <c r="I14" s="9">
        <f>H14*(1+'3. Assumptions'!$B$37)</f>
        <v/>
      </c>
    </row>
    <row r="15" ht="15" customHeight="1" s="277">
      <c r="A15" t="inlineStr">
        <is>
          <t>Professional Services</t>
        </is>
      </c>
      <c r="B15" s="36" t="n">
        <v>24000</v>
      </c>
      <c r="E15" s="9">
        <f>B15</f>
        <v/>
      </c>
      <c r="F15" s="9">
        <f>E15*(1+'3. Assumptions'!$B$37)</f>
        <v/>
      </c>
      <c r="G15" s="9">
        <f>F15*(1+'3. Assumptions'!$B$37)</f>
        <v/>
      </c>
      <c r="H15" s="9">
        <f>G15*(1+'3. Assumptions'!$B$37)</f>
        <v/>
      </c>
      <c r="I15" s="9">
        <f>H15*(1+'3. Assumptions'!$B$37)</f>
        <v/>
      </c>
    </row>
    <row r="17" ht="15" customHeight="1" s="277">
      <c r="A17" s="5" t="inlineStr">
        <is>
          <t>TOTAL OTHER OPEX</t>
        </is>
      </c>
      <c r="B17" s="40" t="n"/>
      <c r="E17" s="9">
        <f>SUM(E12:E15)</f>
        <v/>
      </c>
      <c r="F17" s="9">
        <f>SUM(F12:F15)</f>
        <v/>
      </c>
      <c r="G17" s="9">
        <f>SUM(G12:G15)</f>
        <v/>
      </c>
      <c r="H17" s="9">
        <f>SUM(H12:H15)</f>
        <v/>
      </c>
      <c r="I17" s="9">
        <f>SUM(I12:I15)</f>
        <v/>
      </c>
    </row>
    <row r="18" ht="15" customHeight="1" s="277">
      <c r="B18" s="40" t="n"/>
    </row>
    <row r="19" ht="15" customHeight="1" s="277">
      <c r="A19" s="5" t="inlineStr">
        <is>
          <t>TOTAL OPERATING COSTS</t>
        </is>
      </c>
      <c r="B19" s="40" t="n">
        <v>12000</v>
      </c>
      <c r="E19" s="9">
        <f>E9+E17</f>
        <v/>
      </c>
      <c r="F19" s="9">
        <f>F9+F17</f>
        <v/>
      </c>
      <c r="G19" s="9">
        <f>G9+G17</f>
        <v/>
      </c>
      <c r="H19" s="9">
        <f>H9+H17</f>
        <v/>
      </c>
      <c r="I19" s="9">
        <f>I9+I17</f>
        <v/>
      </c>
    </row>
    <row r="20" ht="15" customHeight="1" s="277">
      <c r="B20" s="40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"/>
  <sheetViews>
    <sheetView zoomScaleNormal="100" workbookViewId="0">
      <selection activeCell="C7" sqref="C7"/>
    </sheetView>
  </sheetViews>
  <sheetFormatPr baseColWidth="8" defaultColWidth="8.69140625" defaultRowHeight="14.6"/>
  <cols>
    <col width="25" customWidth="1" style="277" min="1" max="1"/>
    <col width="15" customWidth="1" style="277" min="2" max="9"/>
  </cols>
  <sheetData>
    <row r="1" ht="17.25" customHeight="1" s="277">
      <c r="A1" s="35" t="inlineStr">
        <is>
          <t>TEAM COSTS — Zezamii Cloud</t>
        </is>
      </c>
    </row>
    <row r="3" ht="15" customHeight="1" s="277">
      <c r="A3" s="20" t="inlineStr">
        <is>
          <t>Role</t>
        </is>
      </c>
      <c r="B3" s="20" t="inlineStr">
        <is>
          <t>Person</t>
        </is>
      </c>
      <c r="C3" s="20" t="inlineStr">
        <is>
          <t>Full Cost</t>
        </is>
      </c>
      <c r="D3" s="20" t="inlineStr">
        <is>
          <t>Allocation</t>
        </is>
      </c>
      <c r="E3" s="20" t="inlineStr">
        <is>
          <t>Year 1</t>
        </is>
      </c>
      <c r="F3" s="20" t="inlineStr">
        <is>
          <t>Year 2</t>
        </is>
      </c>
      <c r="G3" s="20" t="inlineStr">
        <is>
          <t>Year 3</t>
        </is>
      </c>
      <c r="H3" s="20" t="inlineStr">
        <is>
          <t>Year 4</t>
        </is>
      </c>
      <c r="I3" s="20" t="inlineStr">
        <is>
          <t>Year 5</t>
        </is>
      </c>
    </row>
    <row r="4" ht="15" customHeight="1" s="277">
      <c r="A4" t="inlineStr">
        <is>
          <t>Director</t>
        </is>
      </c>
      <c r="B4" t="inlineStr">
        <is>
          <t>Glenn</t>
        </is>
      </c>
      <c r="C4" s="36" t="n">
        <v>200000</v>
      </c>
      <c r="D4" s="37" t="n">
        <v>0.5</v>
      </c>
      <c r="E4" s="9">
        <f>C4*D4</f>
        <v/>
      </c>
      <c r="F4" s="9">
        <f>E4*(1+'3. Assumptions'!$B$36)</f>
        <v/>
      </c>
      <c r="G4" s="9">
        <f>F4*(1+'3. Assumptions'!$B$36)</f>
        <v/>
      </c>
      <c r="H4" s="9">
        <f>G4*(1+'3. Assumptions'!$B$36)</f>
        <v/>
      </c>
      <c r="I4" s="9">
        <f>H4*(1+'3. Assumptions'!$B$36)</f>
        <v/>
      </c>
    </row>
    <row r="5" ht="15" customHeight="1" s="277">
      <c r="A5" t="inlineStr">
        <is>
          <t>Head of Engineering</t>
        </is>
      </c>
      <c r="B5" t="inlineStr">
        <is>
          <t>Kishan</t>
        </is>
      </c>
      <c r="C5" s="36" t="n">
        <v>170000</v>
      </c>
      <c r="D5" s="39" t="n">
        <v>1</v>
      </c>
      <c r="E5" s="9">
        <f>C5*D5</f>
        <v/>
      </c>
      <c r="F5" s="9">
        <f>E5*(1+'3. Assumptions'!$B$36)</f>
        <v/>
      </c>
      <c r="G5" s="9">
        <f>F5*(1+'3. Assumptions'!$B$36)</f>
        <v/>
      </c>
      <c r="H5" s="9">
        <f>G5*(1+'3. Assumptions'!$B$36)</f>
        <v/>
      </c>
      <c r="I5" s="9">
        <f>H5*(1+'3. Assumptions'!$B$36)</f>
        <v/>
      </c>
    </row>
    <row r="6" ht="15" customHeight="1" s="277">
      <c r="A6" t="inlineStr">
        <is>
          <t>Fullstack Dev</t>
        </is>
      </c>
      <c r="B6" t="inlineStr">
        <is>
          <t>Duvan</t>
        </is>
      </c>
      <c r="C6" s="36" t="n">
        <v>110000</v>
      </c>
      <c r="D6" s="39" t="n">
        <v>1</v>
      </c>
      <c r="E6" s="9">
        <f>C6*D6</f>
        <v/>
      </c>
      <c r="F6" s="9">
        <f>E6*(1+'3. Assumptions'!$B$36)</f>
        <v/>
      </c>
      <c r="G6" s="9">
        <f>F6*(1+'3. Assumptions'!$B$36)</f>
        <v/>
      </c>
      <c r="H6" s="9">
        <f>G6*(1+'3. Assumptions'!$B$36)</f>
        <v/>
      </c>
      <c r="I6" s="9">
        <f>H6*(1+'3. Assumptions'!$B$36)</f>
        <v/>
      </c>
    </row>
    <row r="7" ht="15" customHeight="1" s="277">
      <c r="A7" t="inlineStr">
        <is>
          <t>Co-founder</t>
        </is>
      </c>
      <c r="B7" t="inlineStr">
        <is>
          <t>Warren</t>
        </is>
      </c>
      <c r="C7" s="36" t="n">
        <v>200000</v>
      </c>
      <c r="D7" s="37" t="n">
        <v>0.2</v>
      </c>
      <c r="E7" s="9">
        <f>C7*D7</f>
        <v/>
      </c>
      <c r="F7" s="9">
        <f>E7*(1+'3. Assumptions'!$B$36)</f>
        <v/>
      </c>
      <c r="G7" s="9">
        <f>F7*(1+'3. Assumptions'!$B$36)</f>
        <v/>
      </c>
      <c r="H7" s="9">
        <f>G7*(1+'3. Assumptions'!$B$36)</f>
        <v/>
      </c>
      <c r="I7" s="9">
        <f>H7*(1+'3. Assumptions'!$B$36)</f>
        <v/>
      </c>
    </row>
    <row r="8" ht="15" customHeight="1" s="277">
      <c r="A8" t="inlineStr">
        <is>
          <t>Support</t>
        </is>
      </c>
      <c r="B8" t="inlineStr">
        <is>
          <t>Luke</t>
        </is>
      </c>
      <c r="C8" s="36" t="n">
        <v>100000</v>
      </c>
      <c r="D8" s="37" t="n">
        <v>0.5</v>
      </c>
      <c r="E8" s="9">
        <f>C8*D8</f>
        <v/>
      </c>
      <c r="F8" s="9">
        <f>E8*(1+'3. Assumptions'!$B$36)</f>
        <v/>
      </c>
      <c r="G8" s="9">
        <f>F8*(1+'3. Assumptions'!$B$36)</f>
        <v/>
      </c>
      <c r="H8" s="9">
        <f>G8*(1+'3. Assumptions'!$B$36)</f>
        <v/>
      </c>
      <c r="I8" s="9">
        <f>H8*(1+'3. Assumptions'!$B$36)</f>
        <v/>
      </c>
    </row>
    <row r="10" ht="15" customHeight="1" s="277">
      <c r="A10" s="5" t="inlineStr">
        <is>
          <t>FUTURE HIRES</t>
        </is>
      </c>
    </row>
    <row r="11" ht="15" customHeight="1" s="277">
      <c r="A11" t="inlineStr">
        <is>
          <t>Sales/BD</t>
        </is>
      </c>
      <c r="B11" t="inlineStr">
        <is>
          <t>TBD</t>
        </is>
      </c>
      <c r="C11" s="36" t="n">
        <v>135000</v>
      </c>
      <c r="D11" t="n">
        <v>1</v>
      </c>
      <c r="E11" t="n">
        <v>0</v>
      </c>
      <c r="F11" s="9">
        <f>IF(Revenue!D25&gt;=350000, C11, 0)</f>
        <v/>
      </c>
      <c r="G11" s="9">
        <f>IF(F11&gt;0, F11*(1+'3. Assumptions'!$B$36), IF(Revenue!E25&gt;=350000, C11, 0))</f>
        <v/>
      </c>
      <c r="H11" s="9">
        <f>IF(G11&gt;0, G11*(1+'3. Assumptions'!$B$36), IF(Revenue!F25&gt;=350000, C11, 0))</f>
        <v/>
      </c>
      <c r="I11" s="9">
        <f>IF(H11&gt;0, H11*(1+'3. Assumptions'!$B$36), IF(Revenue!G25&gt;=350000, C11, 0))</f>
        <v/>
      </c>
    </row>
    <row r="12" ht="15" customHeight="1" s="277">
      <c r="C12" s="7" t="inlineStr">
        <is>
          <t>Trigger: $350K ARR</t>
        </is>
      </c>
    </row>
    <row r="14" ht="15" customHeight="1" s="277">
      <c r="A14" s="5" t="inlineStr">
        <is>
          <t>TOTAL TEAM COST</t>
        </is>
      </c>
      <c r="E14" s="9">
        <f>SUM(E4:E8)+E11</f>
        <v/>
      </c>
      <c r="F14" s="9">
        <f>SUM(F4:F8)+F11</f>
        <v/>
      </c>
      <c r="G14" s="9">
        <f>SUM(G4:G8)+G11</f>
        <v/>
      </c>
      <c r="H14" s="9">
        <f>SUM(H4:H8)+H11</f>
        <v/>
      </c>
      <c r="I14" s="9">
        <f>SUM(I4:I8)+I11</f>
        <v/>
      </c>
    </row>
    <row r="16" ht="15" customHeight="1" s="277">
      <c r="A16" s="5" t="inlineStr">
        <is>
          <t>OTHER OPERATING COSTS</t>
        </is>
      </c>
    </row>
    <row r="17" ht="15" customHeight="1" s="277">
      <c r="A17" t="inlineStr">
        <is>
          <t>Rent &amp; Facilities</t>
        </is>
      </c>
      <c r="B17" s="36" t="n">
        <v>45000</v>
      </c>
      <c r="E17" s="9">
        <f>B17</f>
        <v/>
      </c>
      <c r="F17" s="9">
        <f>E17*(1+'3. Assumptions'!$B$37)</f>
        <v/>
      </c>
      <c r="G17" s="9">
        <f>F17*(1+'3. Assumptions'!$B$37)</f>
        <v/>
      </c>
      <c r="H17" s="9">
        <f>G17*(1+'3. Assumptions'!$B$37)</f>
        <v/>
      </c>
      <c r="I17" s="9">
        <f>H17*(1+'3. Assumptions'!$B$37)</f>
        <v/>
      </c>
    </row>
    <row r="18" ht="15" customHeight="1" s="277">
      <c r="A18" t="inlineStr">
        <is>
          <t>Software &amp; Subscriptions</t>
        </is>
      </c>
      <c r="B18" s="36" t="n">
        <v>50000</v>
      </c>
      <c r="E18" s="9">
        <f>B18</f>
        <v/>
      </c>
      <c r="F18" s="9">
        <f>E18*(1+'3. Assumptions'!$B$37)</f>
        <v/>
      </c>
      <c r="G18" s="9">
        <f>F18*(1+'3. Assumptions'!$B$37)</f>
        <v/>
      </c>
      <c r="H18" s="9">
        <f>G18*(1+'3. Assumptions'!$B$37)</f>
        <v/>
      </c>
      <c r="I18" s="9">
        <f>H18*(1+'3. Assumptions'!$B$37)</f>
        <v/>
      </c>
    </row>
    <row r="19" ht="15" customHeight="1" s="277">
      <c r="A19" t="inlineStr">
        <is>
          <t>Insurance</t>
        </is>
      </c>
      <c r="B19" s="36" t="n">
        <v>15000</v>
      </c>
      <c r="E19" s="9">
        <f>B19</f>
        <v/>
      </c>
      <c r="F19" s="9">
        <f>E19*(1+'3. Assumptions'!$B$37)</f>
        <v/>
      </c>
      <c r="G19" s="9">
        <f>F19*(1+'3. Assumptions'!$B$37)</f>
        <v/>
      </c>
      <c r="H19" s="9">
        <f>G19*(1+'3. Assumptions'!$B$37)</f>
        <v/>
      </c>
      <c r="I19" s="9">
        <f>H19*(1+'3. Assumptions'!$B$37)</f>
        <v/>
      </c>
    </row>
    <row r="20" ht="15" customHeight="1" s="277">
      <c r="A20" t="inlineStr">
        <is>
          <t>Professional Services</t>
        </is>
      </c>
      <c r="B20" s="36" t="n">
        <v>20000</v>
      </c>
      <c r="E20" s="9">
        <f>B20</f>
        <v/>
      </c>
      <c r="F20" s="9">
        <f>E20*(1+'3. Assumptions'!$B$37)</f>
        <v/>
      </c>
      <c r="G20" s="9">
        <f>F20*(1+'3. Assumptions'!$B$37)</f>
        <v/>
      </c>
      <c r="H20" s="9">
        <f>G20*(1+'3. Assumptions'!$B$37)</f>
        <v/>
      </c>
      <c r="I20" s="9">
        <f>H20*(1+'3. Assumptions'!$B$37)</f>
        <v/>
      </c>
    </row>
    <row r="22" ht="15" customHeight="1" s="277">
      <c r="A22" s="5" t="inlineStr">
        <is>
          <t>TOTAL OTHER OPEX</t>
        </is>
      </c>
      <c r="E22" s="9">
        <f>SUM(E17:E20)</f>
        <v/>
      </c>
      <c r="F22" s="9">
        <f>SUM(F17:F20)</f>
        <v/>
      </c>
      <c r="G22" s="9">
        <f>SUM(G17:G20)</f>
        <v/>
      </c>
      <c r="H22" s="9">
        <f>SUM(H17:H20)</f>
        <v/>
      </c>
      <c r="I22" s="9">
        <f>SUM(I17:I20)</f>
        <v/>
      </c>
    </row>
    <row r="24" ht="15" customHeight="1" s="277">
      <c r="A24" s="5" t="inlineStr">
        <is>
          <t>TOTAL OPERATING COSTS</t>
        </is>
      </c>
      <c r="E24" s="9">
        <f>E14+E22</f>
        <v/>
      </c>
      <c r="F24" s="9">
        <f>F14+F22</f>
        <v/>
      </c>
      <c r="G24" s="9">
        <f>G14+G22</f>
        <v/>
      </c>
      <c r="H24" s="9">
        <f>H14+H22</f>
        <v/>
      </c>
      <c r="I24" s="9">
        <f>I14+I22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topLeftCell="E1" zoomScaleNormal="100" workbookViewId="0">
      <selection activeCell="N22" sqref="N22"/>
    </sheetView>
  </sheetViews>
  <sheetFormatPr baseColWidth="8" defaultColWidth="8.69140625" defaultRowHeight="14.6"/>
  <cols>
    <col width="25" customWidth="1" style="277" min="1" max="1"/>
    <col width="15" customWidth="1" style="277" min="2" max="9"/>
  </cols>
  <sheetData>
    <row r="1" ht="17.25" customHeight="1" s="277">
      <c r="A1" s="35" t="inlineStr">
        <is>
          <t>TEAM COSTS — Zezamii LSC Model (Expanded)</t>
        </is>
      </c>
    </row>
    <row r="2" ht="15" customHeight="1" s="277">
      <c r="A2" s="7" t="inlineStr">
        <is>
          <t>Current team + Sales/BD hires + Support hire (trigger-based)</t>
        </is>
      </c>
    </row>
    <row r="4" ht="15" customHeight="1" s="277">
      <c r="A4" s="20" t="inlineStr">
        <is>
          <t>Role</t>
        </is>
      </c>
      <c r="B4" s="20" t="inlineStr">
        <is>
          <t>Person</t>
        </is>
      </c>
      <c r="C4" s="20" t="inlineStr">
        <is>
          <t>Full Cost</t>
        </is>
      </c>
      <c r="D4" s="20" t="inlineStr">
        <is>
          <t>Allocation</t>
        </is>
      </c>
      <c r="E4" s="20" t="inlineStr">
        <is>
          <t>Year 1</t>
        </is>
      </c>
      <c r="F4" s="20" t="inlineStr">
        <is>
          <t>Year 2</t>
        </is>
      </c>
      <c r="G4" s="20" t="inlineStr">
        <is>
          <t>Year 3</t>
        </is>
      </c>
      <c r="H4" s="20" t="inlineStr">
        <is>
          <t>Year 4</t>
        </is>
      </c>
      <c r="I4" s="20" t="inlineStr">
        <is>
          <t>Year 5</t>
        </is>
      </c>
    </row>
    <row r="5" ht="15" customHeight="1" s="277">
      <c r="A5" t="inlineStr">
        <is>
          <t>Director</t>
        </is>
      </c>
      <c r="B5" t="inlineStr">
        <is>
          <t>Glenn</t>
        </is>
      </c>
      <c r="C5" s="36" t="n">
        <v>200000</v>
      </c>
      <c r="D5" s="37" t="n">
        <v>0.8</v>
      </c>
      <c r="E5" s="9">
        <f>C5*D5</f>
        <v/>
      </c>
      <c r="F5" s="9">
        <f>E5*(1+'3. Assumptions'!$B$36)</f>
        <v/>
      </c>
      <c r="G5" s="9">
        <f>F5*(1+'3. Assumptions'!$B$36)</f>
        <v/>
      </c>
      <c r="H5" s="9">
        <f>G5*(1+'3. Assumptions'!$B$36)</f>
        <v/>
      </c>
      <c r="I5" s="9">
        <f>H5*(1+'3. Assumptions'!$B$36)</f>
        <v/>
      </c>
    </row>
    <row r="6" ht="15" customHeight="1" s="277">
      <c r="A6" t="inlineStr">
        <is>
          <t>Head of Engineering</t>
        </is>
      </c>
      <c r="B6" t="inlineStr">
        <is>
          <t>Kishan</t>
        </is>
      </c>
      <c r="C6" s="36" t="n">
        <v>170000</v>
      </c>
      <c r="D6" s="39" t="n">
        <v>1</v>
      </c>
      <c r="E6" s="9">
        <f>C6*D6</f>
        <v/>
      </c>
      <c r="F6" s="9">
        <f>E6*(1+'3. Assumptions'!$B$36)</f>
        <v/>
      </c>
      <c r="G6" s="9">
        <f>F6*(1+'3. Assumptions'!$B$36)</f>
        <v/>
      </c>
      <c r="H6" s="9">
        <f>G6*(1+'3. Assumptions'!$B$36)</f>
        <v/>
      </c>
      <c r="I6" s="9">
        <f>H6*(1+'3. Assumptions'!$B$36)</f>
        <v/>
      </c>
    </row>
    <row r="7" ht="15" customHeight="1" s="277">
      <c r="A7" t="inlineStr">
        <is>
          <t>Fullstack Dev</t>
        </is>
      </c>
      <c r="B7" t="inlineStr">
        <is>
          <t>Duvan</t>
        </is>
      </c>
      <c r="C7" s="36" t="n">
        <v>110000</v>
      </c>
      <c r="D7" s="39" t="n">
        <v>1</v>
      </c>
      <c r="E7" s="9">
        <f>C7*D7</f>
        <v/>
      </c>
      <c r="F7" s="9">
        <f>E7*(1+'3. Assumptions'!$B$36)</f>
        <v/>
      </c>
      <c r="G7" s="9">
        <f>F7*(1+'3. Assumptions'!$B$36)</f>
        <v/>
      </c>
      <c r="H7" s="9">
        <f>G7*(1+'3. Assumptions'!$B$36)</f>
        <v/>
      </c>
      <c r="I7" s="9">
        <f>H7*(1+'3. Assumptions'!$B$36)</f>
        <v/>
      </c>
    </row>
    <row r="8" ht="15" customHeight="1" s="277">
      <c r="A8" t="inlineStr">
        <is>
          <t>Co-founder</t>
        </is>
      </c>
      <c r="B8" t="inlineStr">
        <is>
          <t>Warren</t>
        </is>
      </c>
      <c r="C8" s="36" t="n">
        <v>200000</v>
      </c>
      <c r="D8" s="37" t="n">
        <v>0.5</v>
      </c>
      <c r="E8" s="9">
        <f>C8*D8</f>
        <v/>
      </c>
      <c r="F8" s="9">
        <f>E8*(1+'3. Assumptions'!$B$36)</f>
        <v/>
      </c>
      <c r="G8" s="9">
        <f>F8*(1+'3. Assumptions'!$B$36)</f>
        <v/>
      </c>
      <c r="H8" s="9">
        <f>G8*(1+'3. Assumptions'!$B$36)</f>
        <v/>
      </c>
      <c r="I8" s="9">
        <f>H8*(1+'3. Assumptions'!$B$36)</f>
        <v/>
      </c>
    </row>
    <row r="9" ht="15" customHeight="1" s="277">
      <c r="A9" t="inlineStr">
        <is>
          <t>Support</t>
        </is>
      </c>
      <c r="B9" t="inlineStr">
        <is>
          <t>Luke</t>
        </is>
      </c>
      <c r="C9" s="36" t="n">
        <v>100000</v>
      </c>
      <c r="D9" s="39" t="n">
        <v>1</v>
      </c>
      <c r="E9" s="9">
        <f>C9*D9</f>
        <v/>
      </c>
      <c r="F9" s="9">
        <f>E9*(1+'3. Assumptions'!$B$36)</f>
        <v/>
      </c>
      <c r="G9" s="9">
        <f>F9*(1+'3. Assumptions'!$B$36)</f>
        <v/>
      </c>
      <c r="H9" s="9">
        <f>G9*(1+'3. Assumptions'!$B$36)</f>
        <v/>
      </c>
      <c r="I9" s="9">
        <f>H9*(1+'3. Assumptions'!$B$36)</f>
        <v/>
      </c>
    </row>
    <row r="11" ht="15" customHeight="1" s="277">
      <c r="A11" s="5" t="inlineStr">
        <is>
          <t>TRIGGER-BASED HIRES</t>
        </is>
      </c>
    </row>
    <row r="12" ht="15" customHeight="1" s="277">
      <c r="A12" t="inlineStr">
        <is>
          <t>Sales/BD #1</t>
        </is>
      </c>
      <c r="B12" t="inlineStr">
        <is>
          <t>TBD</t>
        </is>
      </c>
      <c r="C12" s="36" t="n">
        <v>135000</v>
      </c>
      <c r="D12" t="n">
        <v>1</v>
      </c>
      <c r="E12" s="9">
        <f>IF(Revenue!C25&gt;=200000, C12, 0)</f>
        <v/>
      </c>
      <c r="F12" s="9">
        <f>IF(E12&gt;0, E12*(1+'3. Assumptions'!$B$36), IF(Revenue!D25&gt;=200000, C12, 0))</f>
        <v/>
      </c>
      <c r="G12" s="9">
        <f>IF(F12&gt;0, F12*(1+'3. Assumptions'!$B$36), IF(Revenue!E25&gt;=200000, C12, 0))</f>
        <v/>
      </c>
      <c r="H12" s="9">
        <f>IF(G12&gt;0, G12*(1+'3. Assumptions'!$B$36), IF(Revenue!F25&gt;=200000, C12, 0))</f>
        <v/>
      </c>
      <c r="I12" s="9">
        <f>IF(H12&gt;0, H12*(1+'3. Assumptions'!$B$36), IF(Revenue!G25&gt;=200000, C12, 0))</f>
        <v/>
      </c>
    </row>
    <row r="13" ht="15" customHeight="1" s="277">
      <c r="A13" t="inlineStr">
        <is>
          <t>Sales/BD #2</t>
        </is>
      </c>
      <c r="B13" t="inlineStr">
        <is>
          <t>TBD</t>
        </is>
      </c>
      <c r="C13" s="36" t="n">
        <v>135000</v>
      </c>
      <c r="D13" t="n">
        <v>1</v>
      </c>
      <c r="E13" s="9">
        <f>IF(Revenue!C25&gt;=500000, C13, 0)</f>
        <v/>
      </c>
      <c r="F13" s="9">
        <f>IF(E13&gt;0, E13*(1+'3. Assumptions'!$B$36), IF(Revenue!D25&gt;=500000, C13, 0))</f>
        <v/>
      </c>
      <c r="G13" s="9">
        <f>IF(F13&gt;0, F13*(1+'3. Assumptions'!$B$36), IF(Revenue!E25&gt;=500000, C13, 0))</f>
        <v/>
      </c>
      <c r="H13" s="9">
        <f>IF(G13&gt;0, G13*(1+'3. Assumptions'!$B$36), IF(Revenue!F25&gt;=500000, C13, 0))</f>
        <v/>
      </c>
      <c r="I13" s="9">
        <f>IF(H13&gt;0, H13*(1+'3. Assumptions'!$B$36), IF(Revenue!G25&gt;=500000, C13, 0))</f>
        <v/>
      </c>
    </row>
    <row r="14" ht="15" customHeight="1" s="277">
      <c r="A14" t="inlineStr">
        <is>
          <t>Support #2</t>
        </is>
      </c>
      <c r="B14" t="inlineStr">
        <is>
          <t>TBD</t>
        </is>
      </c>
      <c r="C14" s="36" t="n">
        <v>90000</v>
      </c>
      <c r="D14" t="n">
        <v>1</v>
      </c>
      <c r="E14" s="9">
        <f>IF(Revenue!C25&gt;=500000, C14, 0)</f>
        <v/>
      </c>
      <c r="F14" s="9">
        <f>IF(E14&gt;0, E14*(1+'3. Assumptions'!$B$36), IF(Revenue!D25&gt;=500000, C14, 0))</f>
        <v/>
      </c>
      <c r="G14" s="9">
        <f>IF(F14&gt;0, F14*(1+'3. Assumptions'!$B$36), IF(Revenue!E25&gt;=500000, C14, 0))</f>
        <v/>
      </c>
      <c r="H14" s="9">
        <f>IF(G14&gt;0, G14*(1+'3. Assumptions'!$B$36), IF(Revenue!F25&gt;=500000, C14, 0))</f>
        <v/>
      </c>
      <c r="I14" s="9">
        <f>IF(H14&gt;0, H14*(1+'3. Assumptions'!$B$36), IF(Revenue!G25&gt;=500000, C14, 0))</f>
        <v/>
      </c>
    </row>
    <row r="15" ht="15" customHeight="1" s="277">
      <c r="A15" s="7" t="inlineStr">
        <is>
          <t>Trigger: Sales/BD #1 @ $200K ARR | Sales/BD #2 + Support #2 @ $500K ARR</t>
        </is>
      </c>
    </row>
    <row r="17" ht="15" customHeight="1" s="277">
      <c r="A17" s="5" t="inlineStr">
        <is>
          <t>TOTAL TEAM COST</t>
        </is>
      </c>
      <c r="B17" s="40" t="n"/>
      <c r="E17" s="9">
        <f>SUM(E5:E9)+SUM(E12:E14)</f>
        <v/>
      </c>
      <c r="F17" s="9">
        <f>SUM(F5:F9)+SUM(F12:F14)</f>
        <v/>
      </c>
      <c r="G17" s="9">
        <f>SUM(G5:G9)+SUM(G12:G14)</f>
        <v/>
      </c>
      <c r="H17" s="9">
        <f>SUM(H5:H9)+SUM(H12:H14)</f>
        <v/>
      </c>
      <c r="I17" s="9">
        <f>SUM(I5:I9)+SUM(I12:I14)</f>
        <v/>
      </c>
    </row>
    <row r="18" ht="15" customHeight="1" s="277">
      <c r="B18" s="40" t="n"/>
    </row>
    <row r="19" ht="15" customHeight="1" s="277">
      <c r="A19" s="5" t="inlineStr">
        <is>
          <t>OTHER OPERATING COSTS</t>
        </is>
      </c>
      <c r="B19" s="40" t="n"/>
    </row>
    <row r="20" ht="15" customHeight="1" s="277">
      <c r="A20" t="inlineStr">
        <is>
          <t>Rent &amp; Facilities</t>
        </is>
      </c>
      <c r="B20" s="36" t="n">
        <v>81250</v>
      </c>
      <c r="E20" s="9">
        <f>B20</f>
        <v/>
      </c>
      <c r="F20" s="9">
        <f>E20*(1+'3. Assumptions'!$B$37)</f>
        <v/>
      </c>
      <c r="G20" s="9">
        <f>F20*(1+'3. Assumptions'!$B$37)</f>
        <v/>
      </c>
      <c r="H20" s="9">
        <f>G20*(1+'3. Assumptions'!$B$37)</f>
        <v/>
      </c>
      <c r="I20" s="9">
        <f>H20*(1+'3. Assumptions'!$B$37)</f>
        <v/>
      </c>
    </row>
    <row r="21" ht="15" customHeight="1" s="277">
      <c r="A21" t="inlineStr">
        <is>
          <t>Software &amp; Subscriptions</t>
        </is>
      </c>
      <c r="B21" s="36" t="n">
        <v>62500</v>
      </c>
      <c r="E21" s="9">
        <f>B21</f>
        <v/>
      </c>
      <c r="F21" s="9">
        <f>E21*(1+'3. Assumptions'!$B$37)</f>
        <v/>
      </c>
      <c r="G21" s="9">
        <f>F21*(1+'3. Assumptions'!$B$37)</f>
        <v/>
      </c>
      <c r="H21" s="9">
        <f>G21*(1+'3. Assumptions'!$B$37)</f>
        <v/>
      </c>
      <c r="I21" s="9">
        <f>H21*(1+'3. Assumptions'!$B$37)</f>
        <v/>
      </c>
    </row>
    <row r="22" ht="15" customHeight="1" s="277">
      <c r="A22" t="inlineStr">
        <is>
          <t>Insurance</t>
        </is>
      </c>
      <c r="B22" s="36" t="n">
        <v>18750</v>
      </c>
      <c r="E22" s="9">
        <f>B22</f>
        <v/>
      </c>
      <c r="F22" s="9">
        <f>E22*(1+'3. Assumptions'!$B$37)</f>
        <v/>
      </c>
      <c r="G22" s="9">
        <f>F22*(1+'3. Assumptions'!$B$37)</f>
        <v/>
      </c>
      <c r="H22" s="9">
        <f>G22*(1+'3. Assumptions'!$B$37)</f>
        <v/>
      </c>
      <c r="I22" s="9">
        <f>H22*(1+'3. Assumptions'!$B$37)</f>
        <v/>
      </c>
    </row>
    <row r="23" ht="15" customHeight="1" s="277">
      <c r="A23" t="inlineStr">
        <is>
          <t>Professional Services</t>
        </is>
      </c>
      <c r="B23" s="36" t="n">
        <v>37500</v>
      </c>
      <c r="E23" s="9">
        <f>B23</f>
        <v/>
      </c>
      <c r="F23" s="9">
        <f>E23*(1+'3. Assumptions'!$B$37)</f>
        <v/>
      </c>
      <c r="G23" s="9">
        <f>F23*(1+'3. Assumptions'!$B$37)</f>
        <v/>
      </c>
      <c r="H23" s="9">
        <f>G23*(1+'3. Assumptions'!$B$37)</f>
        <v/>
      </c>
      <c r="I23" s="9">
        <f>H23*(1+'3. Assumptions'!$B$37)</f>
        <v/>
      </c>
    </row>
    <row r="25" ht="15" customHeight="1" s="277">
      <c r="A25" s="5" t="inlineStr">
        <is>
          <t>TOTAL OTHER OPEX</t>
        </is>
      </c>
      <c r="E25" s="9">
        <f>SUM(E20:E23)</f>
        <v/>
      </c>
      <c r="F25" s="9">
        <f>SUM(F20:F23)</f>
        <v/>
      </c>
      <c r="G25" s="9">
        <f>SUM(G20:G23)</f>
        <v/>
      </c>
      <c r="H25" s="9">
        <f>SUM(H20:H23)</f>
        <v/>
      </c>
      <c r="I25" s="9">
        <f>SUM(I20:I23)</f>
        <v/>
      </c>
    </row>
    <row r="27" ht="15" customHeight="1" s="277">
      <c r="A27" s="5" t="inlineStr">
        <is>
          <t>TOTAL OPERATING COSTS</t>
        </is>
      </c>
      <c r="E27" s="9">
        <f>E17+E25</f>
        <v/>
      </c>
      <c r="F27" s="9">
        <f>F17+F25</f>
        <v/>
      </c>
      <c r="G27" s="9">
        <f>G17+G25</f>
        <v/>
      </c>
      <c r="H27" s="9">
        <f>H17+H25</f>
        <v/>
      </c>
      <c r="I27" s="9">
        <f>I17+I25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Normal="100" workbookViewId="0">
      <selection activeCell="A1" sqref="A1"/>
    </sheetView>
  </sheetViews>
  <sheetFormatPr baseColWidth="8" defaultColWidth="8.69140625" defaultRowHeight="14.6"/>
  <cols>
    <col width="30" customWidth="1" style="277" min="1" max="1"/>
    <col width="15" customWidth="1" style="277" min="2" max="6"/>
    <col width="20" customWidth="1" style="277" min="7" max="7"/>
  </cols>
  <sheetData>
    <row r="1" ht="17.25" customHeight="1" s="277">
      <c r="A1" s="35" t="inlineStr">
        <is>
          <t>TEAM COST SUMMARY — Selected Model</t>
        </is>
      </c>
    </row>
    <row r="3" ht="15" customHeight="1" s="277">
      <c r="A3" t="inlineStr">
        <is>
          <t>Selected Team Model:</t>
        </is>
      </c>
      <c r="B3" s="5">
        <f>'2. Dashboard'!B7</f>
        <v/>
      </c>
    </row>
    <row r="5" ht="15" customHeight="1" s="277">
      <c r="A5" s="20" t="inlineStr">
        <is>
          <t>Cost Component</t>
        </is>
      </c>
      <c r="B5" s="20" t="inlineStr">
        <is>
          <t>Year 1</t>
        </is>
      </c>
      <c r="C5" s="20" t="inlineStr">
        <is>
          <t>Year 2</t>
        </is>
      </c>
      <c r="D5" s="20" t="inlineStr">
        <is>
          <t>Year 3</t>
        </is>
      </c>
      <c r="E5" s="20" t="inlineStr">
        <is>
          <t>Year 4</t>
        </is>
      </c>
      <c r="F5" s="20" t="inlineStr">
        <is>
          <t>Year 5</t>
        </is>
      </c>
    </row>
    <row r="6" ht="15" customHeight="1" s="277">
      <c r="A6" t="inlineStr">
        <is>
          <t>Team Costs</t>
        </is>
      </c>
      <c r="B6" s="9">
        <f>IF($B$3="Product",'Team - S'!E9,IF($B$3="Zezamii",'Team - M'!E14,'Team - L'!E17))</f>
        <v/>
      </c>
      <c r="C6" s="9">
        <f>IF($B$3="Product",'Team - S'!F9,IF($B$3="Zezamii",'Team - M'!F14,'Team - L'!F17))</f>
        <v/>
      </c>
      <c r="D6" s="9">
        <f>IF($B$3="Product",'Team - S'!G9,IF($B$3="Zezamii",'Team - M'!G14,'Team - L'!G17))</f>
        <v/>
      </c>
      <c r="E6" s="9">
        <f>IF($B$3="Product",'Team - S'!H9,IF($B$3="Zezamii",'Team - M'!H14,'Team - L'!H17))</f>
        <v/>
      </c>
      <c r="F6" s="9">
        <f>IF($B$3="Product",'Team - S'!I9,IF($B$3="Zezamii",'Team - M'!I14,'Team - L'!I17))</f>
        <v/>
      </c>
    </row>
    <row r="7" ht="15" customHeight="1" s="277">
      <c r="A7" t="inlineStr">
        <is>
          <t>Other Opex</t>
        </is>
      </c>
      <c r="B7" s="9">
        <f>IF($B$3="Product",'Team - S'!E17,IF($B$3="Zezamii",'Team - M'!E22,'Team - L'!E25))</f>
        <v/>
      </c>
      <c r="C7" s="9">
        <f>IF($B$3="Product",'Team - S'!F17,IF($B$3="Zezamii",'Team - M'!F22,'Team - L'!F25))</f>
        <v/>
      </c>
      <c r="D7" s="9">
        <f>IF($B$3="Product",'Team - S'!G17,IF($B$3="Zezamii",'Team - M'!G22,'Team - L'!G25))</f>
        <v/>
      </c>
      <c r="E7" s="9">
        <f>IF($B$3="Product",'Team - S'!H17,IF($B$3="Zezamii",'Team - M'!H22,'Team - L'!H25))</f>
        <v/>
      </c>
      <c r="F7" s="9">
        <f>IF($B$3="Product",'Team - S'!I17,IF($B$3="Zezamii",'Team - M'!I22,'Team - L'!I25))</f>
        <v/>
      </c>
    </row>
    <row r="8" ht="15" customHeight="1" s="277">
      <c r="B8" s="9" t="n"/>
      <c r="C8" s="9" t="n"/>
      <c r="D8" s="9" t="n"/>
      <c r="E8" s="9" t="n"/>
      <c r="F8" s="9" t="n"/>
    </row>
    <row r="9" ht="15" customHeight="1" s="277">
      <c r="A9" s="5" t="inlineStr">
        <is>
          <t>TOTAL OPERATING COSTS</t>
        </is>
      </c>
      <c r="B9" s="9">
        <f>B6+B7</f>
        <v/>
      </c>
      <c r="C9" s="9">
        <f>C6+C7</f>
        <v/>
      </c>
      <c r="D9" s="9">
        <f>D6+D7</f>
        <v/>
      </c>
      <c r="E9" s="9">
        <f>E6+E7</f>
        <v/>
      </c>
      <c r="F9" s="9">
        <f>F6+F7</f>
        <v/>
      </c>
    </row>
    <row r="11" ht="15" customHeight="1" s="277">
      <c r="A11" s="5" t="inlineStr">
        <is>
          <t>COST SCALING</t>
        </is>
      </c>
    </row>
    <row r="12" ht="15" customHeight="1" s="277">
      <c r="A12" t="inlineStr">
        <is>
          <t>Platform Revenue (SaaS)</t>
        </is>
      </c>
      <c r="B12" s="9">
        <f>Revenue!C80</f>
        <v/>
      </c>
      <c r="C12" s="9">
        <f>Revenue!D80</f>
        <v/>
      </c>
      <c r="D12" s="9">
        <f>Revenue!E80</f>
        <v/>
      </c>
      <c r="E12" s="9">
        <f>Revenue!F80</f>
        <v/>
      </c>
      <c r="F12" s="9">
        <f>Revenue!G80</f>
        <v/>
      </c>
    </row>
    <row r="13" ht="15" customHeight="1" s="277">
      <c r="A13" t="inlineStr">
        <is>
          <t>Min Opex % (from Assumptions)</t>
        </is>
      </c>
      <c r="B13" s="8">
        <f>'3. Assumptions'!B68</f>
        <v/>
      </c>
      <c r="C13" s="8">
        <f>'3. Assumptions'!B69</f>
        <v/>
      </c>
      <c r="D13" s="8">
        <f>'3. Assumptions'!B70</f>
        <v/>
      </c>
      <c r="E13" s="8">
        <f>'3. Assumptions'!B71</f>
        <v/>
      </c>
      <c r="F13" s="8">
        <f>'3. Assumptions'!B72</f>
        <v/>
      </c>
    </row>
    <row r="14" ht="15" customHeight="1" s="277">
      <c r="A14" t="inlineStr">
        <is>
          <t>Min Opex Required</t>
        </is>
      </c>
      <c r="B14" s="9">
        <f>B12*B13</f>
        <v/>
      </c>
      <c r="C14" s="9">
        <f>C12*C13</f>
        <v/>
      </c>
      <c r="D14" s="9">
        <f>D12*D13</f>
        <v/>
      </c>
      <c r="E14" s="9">
        <f>E12*E13</f>
        <v/>
      </c>
      <c r="F14" s="9">
        <f>F12*F13</f>
        <v/>
      </c>
    </row>
    <row r="15" ht="15" customHeight="1" s="277">
      <c r="A15" t="inlineStr">
        <is>
          <t>Base Opex (Team + Other)</t>
        </is>
      </c>
      <c r="B15" s="9">
        <f>B6+B7</f>
        <v/>
      </c>
      <c r="C15" s="9">
        <f>C6+C7</f>
        <v/>
      </c>
      <c r="D15" s="9">
        <f>D6+D7</f>
        <v/>
      </c>
      <c r="E15" s="9">
        <f>E6+E7</f>
        <v/>
      </c>
      <c r="F15" s="9">
        <f>F6+F7</f>
        <v/>
      </c>
    </row>
    <row r="16" ht="15" customHeight="1" s="277">
      <c r="A16" t="inlineStr">
        <is>
          <t>Additional Scaling Required</t>
        </is>
      </c>
      <c r="B16" s="9">
        <f>MAX(0,B14-B15)</f>
        <v/>
      </c>
      <c r="C16" s="9">
        <f>MAX(0,C14-C15)</f>
        <v/>
      </c>
      <c r="D16" s="9">
        <f>MAX(0,D14-D15)</f>
        <v/>
      </c>
      <c r="E16" s="9">
        <f>MAX(0,E14-E15)</f>
        <v/>
      </c>
      <c r="F16" s="9">
        <f>MAX(0,F14-F15)</f>
        <v/>
      </c>
    </row>
    <row r="18" ht="15" customHeight="1" s="277">
      <c r="A18" s="47" t="inlineStr">
        <is>
          <t>SCALED OPERATING COSTS</t>
        </is>
      </c>
      <c r="B18" s="4" t="n"/>
      <c r="C18" s="4" t="n"/>
      <c r="D18" s="4" t="n"/>
      <c r="E18" s="4" t="n"/>
      <c r="F18" s="4" t="n"/>
    </row>
    <row r="19" ht="15" customHeight="1" s="277">
      <c r="A19" t="inlineStr">
        <is>
          <t>Base Team Costs</t>
        </is>
      </c>
      <c r="B19" s="9">
        <f>B6</f>
        <v/>
      </c>
      <c r="C19" s="9">
        <f>C6</f>
        <v/>
      </c>
      <c r="D19" s="9">
        <f>D6</f>
        <v/>
      </c>
      <c r="E19" s="9">
        <f>E6</f>
        <v/>
      </c>
      <c r="F19" s="9">
        <f>F6</f>
        <v/>
      </c>
    </row>
    <row r="20" ht="15" customHeight="1" s="277">
      <c r="A20" t="inlineStr">
        <is>
          <t>Base Other Opex</t>
        </is>
      </c>
      <c r="B20" s="9">
        <f>B7</f>
        <v/>
      </c>
      <c r="C20" s="9">
        <f>C7</f>
        <v/>
      </c>
      <c r="D20" s="9">
        <f>D7</f>
        <v/>
      </c>
      <c r="E20" s="9">
        <f>E7</f>
        <v/>
      </c>
      <c r="F20" s="9">
        <f>F7</f>
        <v/>
      </c>
    </row>
    <row r="21" ht="15" customHeight="1" s="277">
      <c r="A21" t="inlineStr">
        <is>
          <t>Scaling Adjustment</t>
        </is>
      </c>
      <c r="B21" s="9">
        <f>B16</f>
        <v/>
      </c>
      <c r="C21" s="9">
        <f>C16</f>
        <v/>
      </c>
      <c r="D21" s="9">
        <f>D16</f>
        <v/>
      </c>
      <c r="E21" s="9">
        <f>E16</f>
        <v/>
      </c>
      <c r="F21" s="9">
        <f>F16</f>
        <v/>
      </c>
    </row>
    <row r="22" ht="15" customHeight="1" s="277">
      <c r="A22" s="5" t="inlineStr">
        <is>
          <t>TOTAL SCALED OPEX</t>
        </is>
      </c>
      <c r="B22" s="9">
        <f>B19+B20+B21</f>
        <v/>
      </c>
      <c r="C22" s="9">
        <f>C19+C20+C21</f>
        <v/>
      </c>
      <c r="D22" s="9">
        <f>D19+D20+D21</f>
        <v/>
      </c>
      <c r="E22" s="9">
        <f>E19+E20+E21</f>
        <v/>
      </c>
      <c r="F22" s="9">
        <f>F19+F20+F21</f>
        <v/>
      </c>
    </row>
    <row r="23" ht="15" customHeight="1" s="277">
      <c r="A23" t="inlineStr">
        <is>
          <t>Actual Opex % of Revenue</t>
        </is>
      </c>
      <c r="B23" s="8">
        <f>IF(B12&gt;0,B22/B12,0)</f>
        <v/>
      </c>
      <c r="C23" s="8">
        <f>IF(C12&gt;0,C22/C12,0)</f>
        <v/>
      </c>
      <c r="D23" s="8">
        <f>IF(D12&gt;0,D22/D12,0)</f>
        <v/>
      </c>
      <c r="E23" s="8">
        <f>IF(E12&gt;0,E22/E12,0)</f>
        <v/>
      </c>
      <c r="F23" s="8">
        <f>IF(F12&gt;0,F22/F12,0)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2026-05-07T07:15:47Z</dcterms:created>
  <dcterms:modified xsi:type="dcterms:W3CDTF">2026-07-06T23:50:51Z</dcterms:modified>
  <cp:lastModifiedBy>Glenn Bruggemann</cp:lastModifiedBy>
  <cp:revision>0</cp:revision>
</cp:coreProperties>
</file>